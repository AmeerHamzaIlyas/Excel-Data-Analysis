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1" sheetId="1" r:id="rId5"/>
    <sheet state="visible" name="unique countries" sheetId="2" r:id="rId6"/>
    <sheet state="visible" name="month cost in %age" sheetId="3" r:id="rId7"/>
    <sheet state="visible" name="translation" sheetId="4" r:id="rId8"/>
    <sheet state="visible" name="chart" sheetId="5" r:id="rId9"/>
    <sheet state="visible" name="data filter for specific countr" sheetId="6" r:id="rId10"/>
    <sheet state="visible" name="text-join fun by hyphon" sheetId="7" r:id="rId11"/>
    <sheet state="visible" name="get cost by index-match of coun" sheetId="8" r:id="rId12"/>
    <sheet state="visible" name="specefic country cost by dropdo" sheetId="9" r:id="rId13"/>
    <sheet state="visible" name="Sheet4" sheetId="10" r:id="rId14"/>
    <sheet state="visible" name="Pivot Table 6" sheetId="11" r:id="rId15"/>
    <sheet state="visible" name="Specific city category Cost" sheetId="12" r:id="rId16"/>
    <sheet state="visible" name="Max Cost Country" sheetId="13" r:id="rId17"/>
    <sheet state="visible" name="Average Cost Per City" sheetId="14" r:id="rId18"/>
    <sheet state="visible" name="S2" sheetId="15" r:id="rId19"/>
  </sheets>
  <definedNames>
    <definedName hidden="1" localSheetId="1" name="_xlnm._FilterDatabase">'unique countries'!$A$1:$G$26</definedName>
  </definedNames>
  <calcPr/>
  <pivotCaches>
    <pivotCache cacheId="0" r:id="rId20"/>
    <pivotCache cacheId="1" r:id="rId21"/>
    <pivotCache cacheId="2" r:id="rId22"/>
    <pivotCache cacheId="3" r:id="rId23"/>
  </pivotCaches>
</workbook>
</file>

<file path=xl/sharedStrings.xml><?xml version="1.0" encoding="utf-8"?>
<sst xmlns="http://schemas.openxmlformats.org/spreadsheetml/2006/main" count="966" uniqueCount="133">
  <si>
    <t>United Kingdom</t>
  </si>
  <si>
    <t>Transaction ID</t>
  </si>
  <si>
    <t>Date</t>
  </si>
  <si>
    <t>Country</t>
  </si>
  <si>
    <t>City</t>
  </si>
  <si>
    <t>Category ID</t>
  </si>
  <si>
    <t>Category Name</t>
  </si>
  <si>
    <t>Cost</t>
  </si>
  <si>
    <t>day</t>
  </si>
  <si>
    <t>month</t>
  </si>
  <si>
    <t>concatenation</t>
  </si>
  <si>
    <t>TXN-1001</t>
  </si>
  <si>
    <t>United States</t>
  </si>
  <si>
    <t>New York</t>
  </si>
  <si>
    <t>CAT-101</t>
  </si>
  <si>
    <t>Cloud &amp; IT Infrastructure</t>
  </si>
  <si>
    <t>Thanks for your interest in the topic.</t>
  </si>
  <si>
    <r>
      <t xml:space="preserve">As next steps, may I suggest that you draft a 1-2 page proposal of your ideas and how they would align with the topic. You can see my publications, projects, and topics here: </t>
    </r>
    <r>
      <rPr>
        <rFont val="Aptos, Aptos_EmbeddedFont, Aptos_MSFontService, Calibri, Helvetica, sans-serif"/>
        <color rgb="FF1155CC"/>
        <sz val="12.0"/>
        <u/>
      </rPr>
      <t>www.paul-harvey.org</t>
    </r>
    <r>
      <rPr>
        <rFont val="Aptos, Aptos_EmbeddedFont, Aptos_MSFontService, Calibri, Helvetica, sans-serif"/>
        <color rgb="FF000000"/>
        <sz val="12.0"/>
      </rPr>
      <t xml:space="preserve"> . After this, we can continue the discussion.</t>
    </r>
  </si>
  <si>
    <t>TXN-1002</t>
  </si>
  <si>
    <t>London</t>
  </si>
  <si>
    <t>CAT-102</t>
  </si>
  <si>
    <t>Marketing &amp; Advertising</t>
  </si>
  <si>
    <t>TXN-1003</t>
  </si>
  <si>
    <t>Germany</t>
  </si>
  <si>
    <t>Berlin</t>
  </si>
  <si>
    <t>CAT-103</t>
  </si>
  <si>
    <t>Travel &amp; Entertainment</t>
  </si>
  <si>
    <t>TXN-1004</t>
  </si>
  <si>
    <t>Japan</t>
  </si>
  <si>
    <t>Tokyo</t>
  </si>
  <si>
    <t>CAT-106</t>
  </si>
  <si>
    <t>Software Licenses</t>
  </si>
  <si>
    <t>TXN-1005</t>
  </si>
  <si>
    <t>San Francisco</t>
  </si>
  <si>
    <t>CAT-105</t>
  </si>
  <si>
    <r>
      <t xml:space="preserve">Regarding Funding, if you are able to provide your own funding, please let me know by replying to this email. If not, then this becomes a competitively funded position. A number of links to possible funding sources are available ( </t>
    </r>
    <r>
      <rPr>
        <rFont val="Aptos, Aptos_EmbeddedFont, Aptos_MSFontService, Calibri, Helvetica, sans-serif"/>
        <color rgb="FF1155CC"/>
        <sz val="12.0"/>
        <u/>
      </rPr>
      <t>http://www.paul-harvey.org/</t>
    </r>
    <r>
      <rPr>
        <rFont val="Aptos, Aptos_EmbeddedFont, Aptos_MSFontService, Calibri, Helvetica, sans-serif"/>
        <color rgb="FF000000"/>
        <sz val="12.0"/>
      </rPr>
      <t>opportunities/phds/). Please also consider which one would be most relevant for your situation as well as associated deadlines.</t>
    </r>
  </si>
  <si>
    <t>Professional Services</t>
  </si>
  <si>
    <t>TXN-1006</t>
  </si>
  <si>
    <t>Canada</t>
  </si>
  <si>
    <t>Toronto</t>
  </si>
  <si>
    <t>CAT-104</t>
  </si>
  <si>
    <t>Office Supplies</t>
  </si>
  <si>
    <t>TXN-1007</t>
  </si>
  <si>
    <t>France</t>
  </si>
  <si>
    <t>Paris</t>
  </si>
  <si>
    <t>approach 1</t>
  </si>
  <si>
    <t>Best,</t>
  </si>
  <si>
    <t>Paul</t>
  </si>
  <si>
    <t>Price (Analysis)</t>
  </si>
  <si>
    <r>
      <t>From: Ameer Hamza &lt;</t>
    </r>
    <r>
      <rPr>
        <rFont val="Calibri, sans-serif"/>
        <b/>
        <color rgb="FF1155CC"/>
        <sz val="11.0"/>
        <u/>
      </rPr>
      <t>ameerhamzapu838@gmail.com</t>
    </r>
    <r>
      <rPr>
        <rFont val="Calibri, sans-serif"/>
        <b/>
        <color rgb="FF000000"/>
        <sz val="11.0"/>
      </rPr>
      <t>&gt;</t>
    </r>
  </si>
  <si>
    <t>Unique Countries</t>
  </si>
  <si>
    <t>TXN-1008</t>
  </si>
  <si>
    <t>Unique countries count</t>
  </si>
  <si>
    <t>Singapore</t>
  </si>
  <si>
    <t>unique cities</t>
  </si>
  <si>
    <t>unique cities count</t>
  </si>
  <si>
    <t>TXN-1009</t>
  </si>
  <si>
    <t>Australia</t>
  </si>
  <si>
    <t>Sydney</t>
  </si>
  <si>
    <t>1st two letters</t>
  </si>
  <si>
    <t>last two letters</t>
  </si>
  <si>
    <t>Find Letter</t>
  </si>
  <si>
    <t>TXN-1010</t>
  </si>
  <si>
    <t>Find next 3 letter</t>
  </si>
  <si>
    <t>Austin</t>
  </si>
  <si>
    <t>TXN-1011</t>
  </si>
  <si>
    <t>Munich</t>
  </si>
  <si>
    <t>approach 2</t>
  </si>
  <si>
    <t>TXN-1012</t>
  </si>
  <si>
    <t>Sent: 15 September 2026 07:43</t>
  </si>
  <si>
    <t>Manchester</t>
  </si>
  <si>
    <r>
      <t>To: Paul Harvey &lt;</t>
    </r>
    <r>
      <rPr>
        <rFont val="Calibri, sans-serif"/>
        <b/>
        <color rgb="FF1155CC"/>
        <sz val="11.0"/>
        <u/>
      </rPr>
      <t>Paul.Harvey@glasgow.ac.uk</t>
    </r>
    <r>
      <rPr>
        <rFont val="Calibri, sans-serif"/>
        <b/>
        <color rgb="FF000000"/>
        <sz val="11.0"/>
      </rPr>
      <t>&gt;</t>
    </r>
  </si>
  <si>
    <t>TXN-1013</t>
  </si>
  <si>
    <t>Netherlands</t>
  </si>
  <si>
    <t>Amsterdam</t>
  </si>
  <si>
    <t>TXN-1014</t>
  </si>
  <si>
    <t>Osaka</t>
  </si>
  <si>
    <t>TXN-1015</t>
  </si>
  <si>
    <t>Chicago</t>
  </si>
  <si>
    <t>TXN-1016</t>
  </si>
  <si>
    <t>Vancouver</t>
  </si>
  <si>
    <t>TXN-1017</t>
  </si>
  <si>
    <t>TXN-1018</t>
  </si>
  <si>
    <t>Melbourne</t>
  </si>
  <si>
    <t>TXN-1019</t>
  </si>
  <si>
    <t>TXN-1020</t>
  </si>
  <si>
    <t>Subject: Prospective MS/direct PHD Student research Interest opportunities</t>
  </si>
  <si>
    <t>TXN-1021</t>
  </si>
  <si>
    <t>TXN-1022</t>
  </si>
  <si>
    <r>
      <t xml:space="preserve">You don't often get email from </t>
    </r>
    <r>
      <rPr>
        <rFont val="wf_segoe-ui_normal, &quot;Segoe UI&quot;, &quot;Segoe WP&quot;, Tahoma, Arial, sans-serif !important"/>
        <color rgb="FF1155CC"/>
        <u/>
      </rPr>
      <t>ameerhamzapu838@gmail.com</t>
    </r>
    <r>
      <rPr>
        <rFont val="wf_segoe-ui_normal, &quot;Segoe UI&quot;, &quot;Segoe WP&quot;, Tahoma, Arial, sans-serif !important"/>
      </rPr>
      <t xml:space="preserve">. </t>
    </r>
    <r>
      <rPr>
        <rFont val="wf_segoe-ui_normal, &quot;Segoe UI&quot;, &quot;Segoe WP&quot;, Tahoma, Arial, sans-serif !important"/>
        <color rgb="FF1155CC"/>
        <u/>
      </rPr>
      <t>Learn why this is important</t>
    </r>
  </si>
  <si>
    <t>TXN-1023</t>
  </si>
  <si>
    <t>...</t>
  </si>
  <si>
    <t>TXN-1024</t>
  </si>
  <si>
    <t>TXN-1025</t>
  </si>
  <si>
    <r>
      <t xml:space="preserve">[Message clipped] </t>
    </r>
    <r>
      <rPr>
        <rFont val="Calibri, sans-serif"/>
        <b/>
        <color rgb="FF1155CC"/>
        <sz val="8.0"/>
        <u/>
      </rPr>
      <t>View entire message</t>
    </r>
  </si>
  <si>
    <t>Dear Dr. Paul,</t>
  </si>
  <si>
    <t>SUM of Cost</t>
  </si>
  <si>
    <t>Thank you for your response and for sharing these details.</t>
  </si>
  <si>
    <t>Regarding the funding, I am currently on a fully funded scholarship provided by the government of Pakistan for my studies.</t>
  </si>
  <si>
    <t>I appreciate the suggestion to draft a proposal. I will work on a 1-2 page document outlining my ideas in alignment with your research and will share it with you once it is ready.</t>
  </si>
  <si>
    <t>Best regards,</t>
  </si>
  <si>
    <t>Ameer Hamza</t>
  </si>
  <si>
    <t>Grand Total</t>
  </si>
  <si>
    <t>Country cost on software licenses</t>
  </si>
  <si>
    <t>new york work on how many criteria</t>
  </si>
  <si>
    <t>Find unique months in a data</t>
  </si>
  <si>
    <t>category</t>
  </si>
  <si>
    <t>index</t>
  </si>
  <si>
    <t>matched cost</t>
  </si>
  <si>
    <t>AVERAGE of Cost</t>
  </si>
  <si>
    <t>United States Total</t>
  </si>
  <si>
    <t>Australia Total</t>
  </si>
  <si>
    <t>Canada Total</t>
  </si>
  <si>
    <t>France Total</t>
  </si>
  <si>
    <t>Germany Total</t>
  </si>
  <si>
    <t>Japan Total</t>
  </si>
  <si>
    <t>Netherlands Total</t>
  </si>
  <si>
    <t>Singapore Total</t>
  </si>
  <si>
    <t>United Kingdom Total</t>
  </si>
  <si>
    <t>CAT-107</t>
  </si>
  <si>
    <t>CAT-108</t>
  </si>
  <si>
    <t>CAT-109</t>
  </si>
  <si>
    <t>CAT-110</t>
  </si>
  <si>
    <t>CAT-111</t>
  </si>
  <si>
    <t>CAT-112</t>
  </si>
  <si>
    <t>CAT-113</t>
  </si>
  <si>
    <t>CAT-114</t>
  </si>
  <si>
    <t>CAT-115</t>
  </si>
  <si>
    <t>CAT-116</t>
  </si>
  <si>
    <t>CAT-117</t>
  </si>
  <si>
    <t>CAT-118</t>
  </si>
  <si>
    <t>CAT-119</t>
  </si>
  <si>
    <t>CAT-120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</si>
</sst>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
  </numFmts>
  <fonts count="17">
    <font>
      <sz val="10.0"/>
      <color rgb="FF000000"/>
      <name val="Arial"/>
      <scheme val="minor"/>
    </font>
    <font>
      <sz val="9.0"/>
      <color theme="1"/>
      <name val="Roboto"/>
    </font>
    <font>
      <color theme="1"/>
      <name val="Arial"/>
      <scheme val="minor"/>
    </font>
    <font>
      <sz val="12.0"/>
      <color rgb="FF000000"/>
      <name val="Aptos"/>
    </font>
    <font>
      <u/>
      <sz val="12.0"/>
      <color rgb="FF000000"/>
      <name val="Aptos"/>
    </font>
    <font>
      <b/>
      <sz val="10.0"/>
      <color rgb="FFFFFFFF"/>
      <name val="Roboto"/>
    </font>
    <font>
      <b/>
      <u/>
      <sz val="11.0"/>
      <color rgb="FF000000"/>
      <name val="Calibri"/>
    </font>
    <font>
      <b/>
      <sz val="11.0"/>
      <color rgb="FF000000"/>
      <name val="Calibri"/>
    </font>
    <font>
      <b/>
      <color theme="1"/>
      <name val="Calibri"/>
    </font>
    <font>
      <u/>
      <color rgb="FF0000FF"/>
      <name val="Wf_segoe-ui_normal"/>
    </font>
    <font>
      <color theme="1"/>
      <name val="Wf_segoe-ui_normal"/>
    </font>
    <font>
      <b/>
      <sz val="8.0"/>
      <color theme="1"/>
      <name val="Calibri"/>
    </font>
    <font>
      <b/>
      <u/>
      <sz val="8.0"/>
      <color rgb="FF0000FF"/>
      <name val="Calibri"/>
    </font>
    <font>
      <b/>
      <color rgb="FF80868B"/>
      <name val="&quot;Google Sans&quot;"/>
    </font>
    <font>
      <sz val="12.0"/>
      <color rgb="FF202124"/>
      <name val="&quot;Google Sans&quot;"/>
    </font>
    <font>
      <sz val="9.0"/>
      <color theme="0"/>
      <name val="Roboto"/>
    </font>
    <font>
      <sz val="10.0"/>
      <color theme="1"/>
      <name val="Roboto"/>
    </font>
  </fonts>
  <fills count="6">
    <fill>
      <patternFill patternType="none"/>
    </fill>
    <fill>
      <patternFill patternType="lightGray"/>
    </fill>
    <fill>
      <patternFill patternType="solid">
        <fgColor rgb="FFFF00FF"/>
        <bgColor rgb="FFFF00FF"/>
      </patternFill>
    </fill>
    <fill>
      <patternFill patternType="solid">
        <fgColor rgb="FFF8FAFD"/>
        <bgColor rgb="FFF8FAFD"/>
      </patternFill>
    </fill>
    <fill>
      <patternFill patternType="solid">
        <fgColor rgb="FF35608E"/>
        <bgColor rgb="FF35608E"/>
      </patternFill>
    </fill>
    <fill>
      <patternFill patternType="solid">
        <fgColor rgb="FF1F4E79"/>
        <bgColor rgb="FF1F4E79"/>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right" readingOrder="0" vertical="center"/>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0" fontId="2" numFmtId="165" xfId="0" applyAlignment="1" applyFont="1" applyNumberFormat="1">
      <alignment readingOrder="0"/>
    </xf>
    <xf borderId="0" fillId="0" fontId="3" numFmtId="0" xfId="0" applyAlignment="1" applyFont="1">
      <alignment readingOrder="0" vertical="bottom"/>
    </xf>
    <xf borderId="0" fillId="0" fontId="4" numFmtId="0" xfId="0" applyAlignment="1" applyFont="1">
      <alignment readingOrder="0" vertical="bottom"/>
    </xf>
    <xf borderId="0" fillId="2" fontId="5" numFmtId="0" xfId="0" applyAlignment="1" applyFill="1" applyFont="1">
      <alignment horizontal="center" readingOrder="0" vertical="center"/>
    </xf>
    <xf borderId="0" fillId="2" fontId="5" numFmtId="0" xfId="0" applyAlignment="1" applyFill="1" applyFont="1">
      <alignment readingOrder="0" vertical="center"/>
    </xf>
    <xf borderId="0" fillId="0" fontId="3" numFmtId="0" xfId="0" applyAlignment="1" applyFont="1">
      <alignment vertical="bottom"/>
    </xf>
    <xf borderId="0" fillId="2" fontId="5" numFmtId="0" xfId="0" applyAlignment="1" applyFill="1" applyFont="1">
      <alignment horizontal="right" readingOrder="0" vertical="center"/>
    </xf>
    <xf borderId="0" fillId="2" fontId="5" numFmtId="0" xfId="0" applyAlignment="1" applyFill="1" applyFont="1">
      <alignment horizontal="right" readingOrder="0" vertical="center"/>
    </xf>
    <xf borderId="0" fillId="2" fontId="5" numFmtId="0" xfId="0" applyAlignment="1" applyFill="1" applyFont="1">
      <alignment horizontal="right" readingOrder="0" vertical="center"/>
    </xf>
    <xf borderId="0" fillId="0" fontId="1" numFmtId="0" xfId="0" applyAlignment="1" applyFont="1">
      <alignment horizontal="center" readingOrder="0" vertical="center"/>
    </xf>
    <xf borderId="0" fillId="0" fontId="1" numFmtId="164" xfId="0" applyAlignment="1" applyFont="1" applyNumberFormat="1">
      <alignment horizontal="center" readingOrder="0" vertical="center"/>
    </xf>
    <xf borderId="0" fillId="0" fontId="1" numFmtId="0" xfId="0" applyAlignment="1" applyFont="1">
      <alignment readingOrder="0" vertical="center"/>
    </xf>
    <xf borderId="0" fillId="0" fontId="6" numFmtId="0" xfId="0" applyAlignment="1" applyFont="1">
      <alignment readingOrder="0" vertical="bottom"/>
    </xf>
    <xf borderId="0" fillId="0" fontId="7" numFmtId="0" xfId="0" applyAlignment="1" applyFont="1">
      <alignment readingOrder="0" vertical="bottom"/>
    </xf>
    <xf borderId="0" fillId="0" fontId="1" numFmtId="165" xfId="0" applyAlignment="1" applyFont="1" applyNumberFormat="1">
      <alignment horizontal="right" readingOrder="0" vertical="center"/>
    </xf>
    <xf borderId="0" fillId="0" fontId="8" numFmtId="0" xfId="0" applyAlignment="1" applyFont="1">
      <alignment vertical="bottom"/>
    </xf>
    <xf borderId="0" fillId="0" fontId="9" numFmtId="0" xfId="0" applyAlignment="1" applyFont="1">
      <alignment readingOrder="0" vertical="bottom"/>
    </xf>
    <xf borderId="0" fillId="0" fontId="10" numFmtId="0" xfId="0" applyAlignment="1" applyFont="1">
      <alignment vertical="bottom"/>
    </xf>
    <xf borderId="0" fillId="0" fontId="1" numFmtId="0" xfId="0" applyAlignment="1" applyFont="1">
      <alignment horizontal="right" readingOrder="0" vertical="center"/>
    </xf>
    <xf borderId="0" fillId="0" fontId="11" numFmtId="0" xfId="0" applyAlignment="1" applyFont="1">
      <alignment readingOrder="0" vertical="bottom"/>
    </xf>
    <xf borderId="0" fillId="0" fontId="11" numFmtId="0" xfId="0" applyAlignment="1" applyFont="1">
      <alignment vertical="bottom"/>
    </xf>
    <xf borderId="0" fillId="0" fontId="12" numFmtId="0" xfId="0" applyAlignment="1" applyFont="1">
      <alignment readingOrder="0" vertical="bottom"/>
    </xf>
    <xf borderId="0" fillId="0" fontId="13" numFmtId="0" xfId="0" applyAlignment="1" applyFont="1">
      <alignment readingOrder="0" vertical="bottom"/>
    </xf>
    <xf borderId="0" fillId="0" fontId="13" numFmtId="0" xfId="0" applyAlignment="1" applyFont="1">
      <alignment vertical="bottom"/>
    </xf>
    <xf borderId="0" fillId="0" fontId="2" numFmtId="10" xfId="0" applyFont="1" applyNumberFormat="1"/>
    <xf borderId="0" fillId="3" fontId="14" numFmtId="0" xfId="0" applyAlignment="1" applyFill="1" applyFont="1">
      <alignment vertical="bottom"/>
    </xf>
    <xf borderId="0" fillId="4" fontId="15" numFmtId="0" xfId="0" applyAlignment="1" applyFill="1" applyFont="1">
      <alignment horizontal="right" readingOrder="0" vertical="center"/>
    </xf>
    <xf borderId="0" fillId="0" fontId="2" numFmtId="164" xfId="0" applyFont="1" applyNumberFormat="1"/>
    <xf borderId="0" fillId="0" fontId="2" numFmtId="165" xfId="0" applyFont="1" applyNumberFormat="1"/>
    <xf borderId="0" fillId="0" fontId="16" numFmtId="0" xfId="0" applyAlignment="1" applyFont="1">
      <alignment readingOrder="0" vertical="center"/>
    </xf>
    <xf borderId="0" fillId="5" fontId="15" numFmtId="0" xfId="0" applyAlignment="1" applyFill="1" applyFont="1">
      <alignment horizontal="right" readingOrder="0" vertical="center"/>
    </xf>
  </cellXfs>
  <cellStyles count="1">
    <cellStyle xfId="0" name="Normal" builtinId="0"/>
  </cellStyles>
  <dxfs count="5">
    <dxf>
      <font/>
      <fill>
        <patternFill patternType="none"/>
      </fill>
      <border/>
    </dxf>
    <dxf>
      <font/>
      <fill>
        <patternFill patternType="solid">
          <fgColor rgb="FF35608E"/>
          <bgColor rgb="FF35608E"/>
        </patternFill>
      </fill>
      <border/>
    </dxf>
    <dxf>
      <font/>
      <fill>
        <patternFill patternType="solid">
          <fgColor rgb="FFFFFFFF"/>
          <bgColor rgb="FFFFFFFF"/>
        </patternFill>
      </fill>
      <border/>
    </dxf>
    <dxf>
      <font/>
      <fill>
        <patternFill patternType="solid">
          <fgColor rgb="FFF6F8FC"/>
          <bgColor rgb="FFF6F8FC"/>
        </patternFill>
      </fill>
      <border/>
    </dxf>
    <dxf>
      <font/>
      <fill>
        <patternFill patternType="solid">
          <fgColor rgb="FFB7E1CD"/>
          <bgColor rgb="FFB7E1CD"/>
        </patternFill>
      </fill>
      <border/>
    </dxf>
  </dxfs>
  <tableStyles count="3">
    <tableStyle count="3" pivot="0" name="Original S1-style">
      <tableStyleElement dxfId="1" type="headerRow"/>
      <tableStyleElement dxfId="2" type="firstRowStripe"/>
      <tableStyleElement dxfId="3" type="secondRowStripe"/>
    </tableStyle>
    <tableStyle count="3" pivot="0" name="chart-style">
      <tableStyleElement dxfId="1" type="headerRow"/>
      <tableStyleElement dxfId="2" type="firstRowStripe"/>
      <tableStyleElement dxfId="3" type="secondRowStripe"/>
    </tableStyle>
    <tableStyle count="3" pivot="0" name="S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22" Type="http://schemas.openxmlformats.org/officeDocument/2006/relationships/pivotCacheDefinition" Target="pivotCache/pivotCacheDefinition3.xml"/><Relationship Id="rId10" Type="http://schemas.openxmlformats.org/officeDocument/2006/relationships/worksheet" Target="worksheets/sheet6.xml"/><Relationship Id="rId21" Type="http://schemas.openxmlformats.org/officeDocument/2006/relationships/pivotCacheDefinition" Target="pivotCache/pivotCacheDefinition2.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pivotCacheDefinition" Target="pivotCache/pivotCacheDefinition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Cost vs. City</a:t>
            </a:r>
          </a:p>
        </c:rich>
      </c:tx>
      <c:overlay val="0"/>
    </c:title>
    <c:plotArea>
      <c:layout/>
      <c:barChart>
        <c:barDir val="col"/>
        <c:ser>
          <c:idx val="0"/>
          <c:order val="0"/>
          <c:tx>
            <c:strRef>
              <c:f>chart!$B$1</c:f>
            </c:strRef>
          </c:tx>
          <c:spPr>
            <a:solidFill>
              <a:schemeClr val="accent1"/>
            </a:solidFill>
            <a:ln cmpd="sng">
              <a:noFill/>
            </a:ln>
          </c:spPr>
          <c:cat>
            <c:strRef>
              <c:f>chart!$A$2:$A$26</c:f>
            </c:strRef>
          </c:cat>
          <c:val>
            <c:numRef>
              <c:f>chart!$B$2:$B$26</c:f>
              <c:numCache/>
            </c:numRef>
          </c:val>
        </c:ser>
        <c:axId val="189326617"/>
        <c:axId val="1055146775"/>
      </c:barChart>
      <c:catAx>
        <c:axId val="1893266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5146775"/>
      </c:catAx>
      <c:valAx>
        <c:axId val="10551467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Cost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326617"/>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771525</xdr:colOff>
      <xdr:row>10</xdr:row>
      <xdr:rowOff>152400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6" sheet="unique countries"/>
  </cacheSource>
  <cacheFields>
    <cacheField name="Transaction ID" numFmtId="0">
      <sharedItems>
        <s v="TXN-1001"/>
        <s v="TXN-1002"/>
        <s v="TXN-1003"/>
        <s v="TXN-1004"/>
        <s v="TXN-1005"/>
        <s v="TXN-1006"/>
        <s v="TXN-1007"/>
        <s v="TXN-1008"/>
        <s v="TXN-1009"/>
        <s v="TXN-1010"/>
        <s v="TXN-1011"/>
        <s v="TXN-1012"/>
        <s v="TXN-1013"/>
        <s v="TXN-1014"/>
        <s v="TXN-1015"/>
        <s v="TXN-1016"/>
        <s v="TXN-1017"/>
        <s v="TXN-1018"/>
        <s v="TXN-1019"/>
        <s v="TXN-1020"/>
        <s v="TXN-1021"/>
        <s v="TXN-1022"/>
        <s v="TXN-1023"/>
        <s v="TXN-1024"/>
        <s v="TXN-1025"/>
      </sharedItems>
    </cacheField>
    <cacheField name="Date" numFmtId="164">
      <sharedItems containsSemiMixedTypes="0" containsDate="1" containsString="0">
        <d v="2024-01-15T00:00:00Z"/>
        <d v="2024-01-16T00:00:00Z"/>
        <d v="2024-01-17T00:00:00Z"/>
        <d v="2024-01-18T00:00:00Z"/>
        <d v="2024-01-19T00:00:00Z"/>
        <d v="2024-01-20T00:00:00Z"/>
        <d v="2024-01-21T00:00:00Z"/>
        <d v="2024-01-22T00:00:00Z"/>
        <d v="2024-01-23T00:00:00Z"/>
        <d v="2024-01-24T00:00:00Z"/>
        <d v="2024-01-25T00:00:00Z"/>
        <d v="2024-01-26T00:00:00Z"/>
        <d v="2024-01-27T00:00:00Z"/>
        <d v="2024-01-28T00:00:00Z"/>
        <d v="2024-01-29T00:00:00Z"/>
        <d v="2024-01-30T00:00:00Z"/>
        <d v="2024-01-31T00:00:00Z"/>
        <d v="2024-02-01T00:00:00Z"/>
        <d v="2024-02-02T00:00:00Z"/>
        <d v="2024-02-03T00:00:00Z"/>
        <d v="2024-02-04T00:00:00Z"/>
        <d v="2024-02-05T00:00:00Z"/>
        <d v="2024-02-06T00:00:00Z"/>
        <d v="2024-02-07T00:00:00Z"/>
        <d v="2024-02-08T00:00:00Z"/>
      </sharedItems>
    </cacheField>
    <cacheField name="Country" numFmtId="0">
      <sharedItems>
        <s v="United States"/>
        <s v="United Kingdom"/>
        <s v="Germany"/>
        <s v="Japan"/>
        <s v="Canada"/>
        <s v="France"/>
        <s v="Singapore"/>
        <s v="Australia"/>
        <s v="Netherlands"/>
      </sharedItems>
    </cacheField>
    <cacheField name="City" numFmtId="0">
      <sharedItems>
        <s v="New York"/>
        <s v="London"/>
        <s v="Berlin"/>
        <s v="Tokyo"/>
        <s v="San Francisco"/>
        <s v="Toronto"/>
        <s v="Paris"/>
        <s v="Singapore"/>
        <s v="Sydney"/>
        <s v="Austin"/>
        <s v="Munich"/>
        <s v="Manchester"/>
        <s v="Amsterdam"/>
        <s v="Osaka"/>
        <s v="Chicago"/>
        <s v="Vancouver"/>
        <s v="Melbourne"/>
      </sharedItems>
    </cacheField>
    <cacheField name="Category ID" numFmtId="0">
      <sharedItems>
        <s v="CAT-101"/>
        <s v="CAT-102"/>
        <s v="CAT-103"/>
        <s v="CAT-106"/>
        <s v="CAT-105"/>
        <s v="CAT-104"/>
      </sharedItems>
    </cacheField>
    <cacheField name="Category Name" numFmtId="0">
      <sharedItems>
        <s v="Cloud &amp; IT Infrastructure"/>
        <s v="Marketing &amp; Advertising"/>
        <s v="Travel &amp; Entertainment"/>
        <s v="Software Licenses"/>
        <s v="Professional Services"/>
        <s v="Office Supplies"/>
      </sharedItems>
    </cacheField>
    <cacheField name="Cost" numFmtId="165">
      <sharedItems containsSemiMixedTypes="0" containsString="0" containsNumber="1">
        <n v="4250.0"/>
        <n v="3100.5"/>
        <n v="1240.75"/>
        <n v="850.0"/>
        <n v="6400.0"/>
        <n v="420.3"/>
        <n v="1850.0"/>
        <n v="5120.0"/>
        <n v="2750.0"/>
        <n v="1450.0"/>
        <n v="7200.0"/>
        <n v="630.5"/>
        <n v="4100.0"/>
        <n v="2100.25"/>
        <n v="3890.0"/>
        <n v="980.0"/>
        <n v="5500.0"/>
        <n v="315.8"/>
        <n v="6800.0"/>
        <n v="4750.0"/>
        <n v="3900.0"/>
        <n v="1680.4"/>
        <n v="2300.0"/>
        <n v="540.0"/>
        <n v="5950.0"/>
      </sharedItems>
    </cacheField>
    <cacheField name="day" numFmtId="0">
      <sharedItems containsString="0" containsBlank="1">
        <m/>
      </sharedItems>
    </cacheField>
    <cacheField name="month" numFmtId="0">
      <sharedItems containsSemiMixedTypes="0" containsString="0" containsNumber="1" containsInteger="1">
        <n v="1.0"/>
        <n v="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6" sheet="Original S1"/>
  </cacheSource>
  <cacheFields>
    <cacheField name="Transaction ID" numFmtId="0">
      <sharedItems>
        <s v="TXN-1001"/>
        <s v="TXN-1002"/>
        <s v="TXN-1003"/>
        <s v="TXN-1004"/>
        <s v="TXN-1005"/>
        <s v="TXN-1006"/>
        <s v="TXN-1007"/>
        <s v="TXN-1008"/>
        <s v="TXN-1009"/>
        <s v="TXN-1010"/>
        <s v="TXN-1011"/>
        <s v="TXN-1012"/>
        <s v="TXN-1013"/>
        <s v="TXN-1014"/>
        <s v="TXN-1015"/>
        <s v="TXN-1016"/>
        <s v="TXN-1017"/>
        <s v="TXN-1018"/>
        <s v="TXN-1019"/>
        <s v="TXN-1020"/>
        <s v="TXN-1021"/>
        <s v="TXN-1022"/>
        <s v="TXN-1023"/>
        <s v="TXN-1024"/>
        <s v="TXN-1025"/>
      </sharedItems>
    </cacheField>
    <cacheField name="Date" numFmtId="164">
      <sharedItems containsSemiMixedTypes="0" containsDate="1" containsString="0">
        <d v="2024-01-15T00:00:00Z"/>
        <d v="2024-01-16T00:00:00Z"/>
        <d v="2024-01-17T00:00:00Z"/>
        <d v="2024-01-18T00:00:00Z"/>
        <d v="2024-01-19T00:00:00Z"/>
        <d v="2024-01-20T00:00:00Z"/>
        <d v="2024-01-21T00:00:00Z"/>
        <d v="2024-01-22T00:00:00Z"/>
        <d v="2024-01-23T00:00:00Z"/>
        <d v="2024-01-24T00:00:00Z"/>
        <d v="2024-01-25T00:00:00Z"/>
        <d v="2024-01-26T00:00:00Z"/>
        <d v="2024-01-27T00:00:00Z"/>
        <d v="2024-01-28T00:00:00Z"/>
        <d v="2024-01-29T00:00:00Z"/>
        <d v="2024-01-30T00:00:00Z"/>
        <d v="2024-01-31T00:00:00Z"/>
        <d v="2024-02-01T00:00:00Z"/>
        <d v="2024-02-02T00:00:00Z"/>
        <d v="2024-02-03T00:00:00Z"/>
        <d v="2024-02-04T00:00:00Z"/>
        <d v="2024-02-05T00:00:00Z"/>
        <d v="2024-02-06T00:00:00Z"/>
        <d v="2024-02-07T00:00:00Z"/>
        <d v="2024-02-08T00:00:00Z"/>
      </sharedItems>
    </cacheField>
    <cacheField name="Country" numFmtId="0">
      <sharedItems>
        <s v="United States"/>
        <s v="United Kingdom"/>
        <s v="Germany"/>
        <s v="Japan"/>
        <s v="Canada"/>
        <s v="France"/>
        <s v="Singapore"/>
        <s v="Australia"/>
        <s v="Netherlands"/>
      </sharedItems>
    </cacheField>
    <cacheField name="City" numFmtId="0">
      <sharedItems>
        <s v="New York"/>
        <s v="London"/>
        <s v="Berlin"/>
        <s v="Tokyo"/>
        <s v="San Francisco"/>
        <s v="Toronto"/>
        <s v="Paris"/>
        <s v="Singapore"/>
        <s v="Sydney"/>
        <s v="Austin"/>
        <s v="Munich"/>
        <s v="Manchester"/>
        <s v="Amsterdam"/>
        <s v="Osaka"/>
        <s v="Chicago"/>
        <s v="Vancouver"/>
        <s v="Melbourne"/>
      </sharedItems>
    </cacheField>
    <cacheField name="Category ID" numFmtId="0">
      <sharedItems>
        <s v="CAT-101"/>
        <s v="CAT-102"/>
        <s v="CAT-103"/>
        <s v="CAT-106"/>
        <s v="CAT-105"/>
        <s v="CAT-104"/>
      </sharedItems>
    </cacheField>
    <cacheField name="Category Name" numFmtId="0">
      <sharedItems>
        <s v="Cloud &amp; IT Infrastructure"/>
        <s v="Marketing &amp; Advertising"/>
        <s v="Travel &amp; Entertainment"/>
        <s v="Software Licenses"/>
        <s v="Professional Services"/>
        <s v="Office Supplies"/>
      </sharedItems>
    </cacheField>
    <cacheField name="Cost" numFmtId="165">
      <sharedItems containsSemiMixedTypes="0" containsString="0" containsNumber="1">
        <n v="4250.0"/>
        <n v="3100.5"/>
        <n v="1240.75"/>
        <n v="850.0"/>
        <n v="6400.0"/>
        <n v="420.3"/>
        <n v="1850.0"/>
        <n v="5120.0"/>
        <n v="2750.0"/>
        <n v="1450.0"/>
        <n v="7200.0"/>
        <n v="630.5"/>
        <n v="4100.0"/>
        <n v="2100.25"/>
        <n v="3890.0"/>
        <n v="980.0"/>
        <n v="5500.0"/>
        <n v="315.8"/>
        <n v="6800.0"/>
        <n v="4750.0"/>
        <n v="3900.0"/>
        <n v="1680.4"/>
        <n v="2300.0"/>
        <n v="540.0"/>
        <n v="595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1" sheet="Sheet4"/>
  </cacheSource>
  <cacheFields>
    <cacheField name="Transaction ID" numFmtId="0">
      <sharedItems>
        <s v="TXN-1001"/>
        <s v="TXN-1002"/>
        <s v="TXN-1003"/>
        <s v="TXN-1004"/>
        <s v="TXN-1005"/>
        <s v="TXN-1006"/>
        <s v="TXN-1007"/>
        <s v="TXN-1008"/>
        <s v="TXN-1009"/>
        <s v="TXN-1010"/>
      </sharedItems>
    </cacheField>
    <cacheField name="Date" numFmtId="164">
      <sharedItems containsSemiMixedTypes="0" containsDate="1" containsString="0">
        <d v="2024-01-15T00:00:00Z"/>
        <d v="2024-01-16T00:00:00Z"/>
        <d v="2024-01-17T00:00:00Z"/>
        <d v="2024-01-18T00:00:00Z"/>
        <d v="2024-01-19T00:00:00Z"/>
        <d v="2024-01-20T00:00:00Z"/>
        <d v="2024-01-21T00:00:00Z"/>
        <d v="2024-01-22T00:00:00Z"/>
        <d v="2024-01-23T00:00:00Z"/>
        <d v="2024-01-24T00:00:00Z"/>
      </sharedItems>
    </cacheField>
    <cacheField name="Country" numFmtId="0">
      <sharedItems>
        <s v="United States"/>
        <s v="United Kingdom"/>
        <s v="Germany"/>
        <s v="Japan"/>
        <s v="Canada"/>
        <s v="France"/>
        <s v="Singapore"/>
        <s v="Australia"/>
      </sharedItems>
    </cacheField>
    <cacheField name="City" numFmtId="0">
      <sharedItems>
        <s v="New York"/>
        <s v="London"/>
        <s v="Berlin"/>
        <s v="Tokyo"/>
        <s v="San Francisco"/>
        <s v="Toronto"/>
        <s v="Paris"/>
        <s v="Singapore"/>
        <s v="Sydney"/>
        <s v="Austin"/>
      </sharedItems>
    </cacheField>
    <cacheField name="Category ID" numFmtId="0">
      <sharedItems>
        <s v="CAT-101"/>
        <s v="CAT-102"/>
        <s v="CAT-103"/>
        <s v="CAT-106"/>
        <s v="CAT-105"/>
        <s v="CAT-104"/>
      </sharedItems>
    </cacheField>
    <cacheField name="Category Name" numFmtId="0">
      <sharedItems>
        <s v="Cloud &amp; IT Infrastructure"/>
        <s v="Marketing &amp; Advertising"/>
        <s v="Travel &amp; Entertainment"/>
        <s v="Software Licenses"/>
        <s v="Professional Services"/>
        <s v="Office Supplies"/>
      </sharedItems>
    </cacheField>
    <cacheField name="Cost" numFmtId="165">
      <sharedItems containsSemiMixedTypes="0" containsString="0" containsNumber="1">
        <n v="4250.0"/>
        <n v="3100.5"/>
        <n v="1240.75"/>
        <n v="850.0"/>
        <n v="6400.0"/>
        <n v="420.3"/>
        <n v="1850.0"/>
        <n v="5120.0"/>
        <n v="2750.0"/>
        <n v="1450.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6" sheet="Original S1"/>
  </cacheSource>
  <cacheFields>
    <cacheField name="Transaction ID" numFmtId="0">
      <sharedItems>
        <s v="TXN-1001"/>
        <s v="TXN-1002"/>
        <s v="TXN-1003"/>
        <s v="TXN-1004"/>
        <s v="TXN-1005"/>
        <s v="TXN-1006"/>
        <s v="TXN-1007"/>
        <s v="TXN-1008"/>
        <s v="TXN-1009"/>
        <s v="TXN-1010"/>
        <s v="TXN-1011"/>
        <s v="TXN-1012"/>
        <s v="TXN-1013"/>
        <s v="TXN-1014"/>
        <s v="TXN-1015"/>
        <s v="TXN-1016"/>
        <s v="TXN-1017"/>
        <s v="TXN-1018"/>
        <s v="TXN-1019"/>
        <s v="TXN-1020"/>
        <s v="TXN-1021"/>
        <s v="TXN-1022"/>
        <s v="TXN-1023"/>
        <s v="TXN-1024"/>
        <s v="TXN-1025"/>
      </sharedItems>
    </cacheField>
    <cacheField name="Date" numFmtId="164">
      <sharedItems containsSemiMixedTypes="0" containsDate="1" containsString="0">
        <d v="2024-01-15T00:00:00Z"/>
        <d v="2024-01-16T00:00:00Z"/>
        <d v="2024-01-17T00:00:00Z"/>
        <d v="2024-01-18T00:00:00Z"/>
        <d v="2024-01-19T00:00:00Z"/>
        <d v="2024-01-20T00:00:00Z"/>
        <d v="2024-01-21T00:00:00Z"/>
        <d v="2024-01-22T00:00:00Z"/>
        <d v="2024-01-23T00:00:00Z"/>
        <d v="2024-01-24T00:00:00Z"/>
        <d v="2024-01-25T00:00:00Z"/>
        <d v="2024-01-26T00:00:00Z"/>
        <d v="2024-01-27T00:00:00Z"/>
        <d v="2024-01-28T00:00:00Z"/>
        <d v="2024-01-29T00:00:00Z"/>
        <d v="2024-01-30T00:00:00Z"/>
        <d v="2024-01-31T00:00:00Z"/>
        <d v="2024-02-01T00:00:00Z"/>
        <d v="2024-02-02T00:00:00Z"/>
        <d v="2024-02-03T00:00:00Z"/>
        <d v="2024-02-04T00:00:00Z"/>
        <d v="2024-02-05T00:00:00Z"/>
        <d v="2024-02-06T00:00:00Z"/>
        <d v="2024-02-07T00:00:00Z"/>
        <d v="2024-02-08T00:00:00Z"/>
      </sharedItems>
    </cacheField>
    <cacheField name="Country" numFmtId="0">
      <sharedItems>
        <s v="United States"/>
        <s v="United Kingdom"/>
        <s v="Germany"/>
        <s v="Japan"/>
        <s v="Canada"/>
        <s v="France"/>
        <s v="Singapore"/>
        <s v="Australia"/>
        <s v="Netherlands"/>
      </sharedItems>
    </cacheField>
    <cacheField name="City" numFmtId="0">
      <sharedItems>
        <s v="New York"/>
        <s v="London"/>
        <s v="Berlin"/>
        <s v="Tokyo"/>
        <s v="San Francisco"/>
        <s v="Toronto"/>
        <s v="Paris"/>
        <s v="Singapore"/>
        <s v="Sydney"/>
        <s v="Austin"/>
        <s v="Munich"/>
        <s v="Manchester"/>
        <s v="Amsterdam"/>
        <s v="Osaka"/>
        <s v="Chicago"/>
        <s v="Vancouver"/>
        <s v="Melbourne"/>
      </sharedItems>
    </cacheField>
    <cacheField name="Category ID" numFmtId="0">
      <sharedItems>
        <s v="CAT-101"/>
        <s v="CAT-102"/>
        <s v="CAT-103"/>
        <s v="CAT-106"/>
        <s v="CAT-105"/>
        <s v="CAT-104"/>
      </sharedItems>
    </cacheField>
    <cacheField name="Category Name" numFmtId="0">
      <sharedItems>
        <s v="Cloud &amp; IT Infrastructure"/>
        <s v="Marketing &amp; Advertising"/>
        <s v="Travel &amp; Entertainment"/>
        <s v="Software Licenses"/>
        <s v="Professional Services"/>
        <s v="Office Supplies"/>
      </sharedItems>
    </cacheField>
    <cacheField name="Cost" numFmtId="165">
      <sharedItems containsSemiMixedTypes="0" containsString="0" containsNumber="1">
        <n v="4250.0"/>
        <n v="3100.5"/>
        <n v="1240.75"/>
        <n v="850.0"/>
        <n v="6400.0"/>
        <n v="420.3"/>
        <n v="1850.0"/>
        <n v="5120.0"/>
        <n v="2750.0"/>
        <n v="1450.0"/>
        <n v="7200.0"/>
        <n v="630.5"/>
        <n v="4100.0"/>
        <n v="2100.25"/>
        <n v="3890.0"/>
        <n v="980.0"/>
        <n v="5500.0"/>
        <n v="315.8"/>
        <n v="6800.0"/>
        <n v="4750.0"/>
        <n v="3900.0"/>
        <n v="1680.4"/>
        <n v="2300.0"/>
        <n v="540.0"/>
        <n v="5950.0"/>
      </sharedItems>
    </cacheField>
    <cacheField name="Price (Analysis)" numFmtId="0">
      <sharedItems>
        <s v="Expensive"/>
        <s v="Cheep"/>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month cost in %age" cacheId="0" dataCaption="" compact="0" compactData="0">
  <location ref="A1:B4"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compact="0" outline="0" multipleItemSelectionAllowed="1" showAll="0">
      <items>
        <item x="0"/>
        <item x="1"/>
        <item x="2"/>
        <item x="3"/>
        <item x="4"/>
        <item x="5"/>
        <item x="6"/>
        <item x="7"/>
        <item x="8"/>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Category ID" compact="0" outline="0" multipleItemSelectionAllowed="1" showAll="0">
      <items>
        <item x="0"/>
        <item x="1"/>
        <item x="2"/>
        <item x="3"/>
        <item x="4"/>
        <item x="5"/>
        <item t="default"/>
      </items>
    </pivotField>
    <pivotField name="Category Name" compact="0" outline="0" multipleItemSelectionAllowed="1" showAll="0">
      <items>
        <item x="0"/>
        <item x="1"/>
        <item x="2"/>
        <item x="3"/>
        <item x="4"/>
        <item x="5"/>
        <item t="default"/>
      </items>
    </pivotField>
    <pivotField name="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y" compact="0" outline="0" multipleItemSelectionAllowed="1" showAll="0">
      <items>
        <item x="0"/>
        <item t="default"/>
      </items>
    </pivotField>
    <pivotField name="month" axis="axisRow" compact="0" outline="0" multipleItemSelectionAllowed="1" showAll="0" sortType="ascending">
      <items>
        <item x="0"/>
        <item x="1"/>
        <item t="default"/>
      </items>
    </pivotField>
  </pivotFields>
  <rowFields>
    <field x="8"/>
  </rowFields>
  <dataFields>
    <dataField name="SUM of Cost" fld="6" showDataAs="percentOfTotal" baseField="0" numFmtId="10"/>
  </dataFields>
</pivotTableDefinition>
</file>

<file path=xl/pivotTables/pivotTable2.xml><?xml version="1.0" encoding="utf-8"?>
<pivotTableDefinition xmlns="http://schemas.openxmlformats.org/spreadsheetml/2006/main" name="get cost by index-match of coun" cacheId="1" dataCaption="" compact="0" compactData="0">
  <location ref="A1:H12" firstHeaderRow="0" firstDataRow="1" firstDataCol="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axis="axisRow" compact="0" outline="0" multipleItemSelectionAllowed="1" showAll="0" sortType="ascending">
      <items>
        <item x="7"/>
        <item x="4"/>
        <item x="5"/>
        <item x="2"/>
        <item x="3"/>
        <item x="8"/>
        <item x="6"/>
        <item x="1"/>
        <item x="0"/>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Category ID" compact="0" outline="0" multipleItemSelectionAllowed="1" showAll="0">
      <items>
        <item x="0"/>
        <item x="1"/>
        <item x="2"/>
        <item x="3"/>
        <item x="4"/>
        <item x="5"/>
        <item t="default"/>
      </items>
    </pivotField>
    <pivotField name="Category Name" axis="axisCol" compact="0" outline="0" multipleItemSelectionAllowed="1" showAll="0" sortType="ascending">
      <items>
        <item x="0"/>
        <item x="1"/>
        <item x="5"/>
        <item x="4"/>
        <item x="3"/>
        <item x="2"/>
        <item t="default"/>
      </items>
    </pivotField>
    <pivotField name="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2"/>
  </rowFields>
  <colFields>
    <field x="5"/>
  </colFields>
  <dataFields>
    <dataField name="SUM of Cost" fld="6" baseField="0"/>
  </dataFields>
</pivotTableDefinition>
</file>

<file path=xl/pivotTables/pivotTable3.xml><?xml version="1.0" encoding="utf-8"?>
<pivotTableDefinition xmlns="http://schemas.openxmlformats.org/spreadsheetml/2006/main" name="Pivot Table 6" cacheId="2" dataCaption="" compact="0" compactData="0">
  <location ref="A3:C6" firstHeaderRow="0" firstDataRow="2" firstDataCol="0" rowPageCount="1" colPageCount="1"/>
  <pivotFields>
    <pivotField name="Transaction ID" compact="0" outline="0" multipleItemSelectionAllowed="1" showAll="0">
      <items>
        <item x="0"/>
        <item x="1"/>
        <item x="2"/>
        <item x="3"/>
        <item x="4"/>
        <item x="5"/>
        <item x="6"/>
        <item x="7"/>
        <item x="8"/>
        <item x="9"/>
        <item t="default"/>
      </items>
    </pivotField>
    <pivotField name="Date" compact="0" numFmtId="164" outline="0" multipleItemSelectionAllowed="1" showAll="0">
      <items>
        <item x="0"/>
        <item x="1"/>
        <item x="2"/>
        <item x="3"/>
        <item x="4"/>
        <item x="5"/>
        <item x="6"/>
        <item x="7"/>
        <item x="8"/>
        <item x="9"/>
        <item t="default"/>
      </items>
    </pivotField>
    <pivotField name="Country" axis="axisRow" compact="0" outline="0" multipleItemSelectionAllowed="1" showAll="0" sortType="ascending">
      <items>
        <item x="7"/>
        <item x="4"/>
        <item x="5"/>
        <item x="2"/>
        <item x="3"/>
        <item x="6"/>
        <item x="1"/>
        <item x="0"/>
        <item t="default"/>
      </items>
    </pivotField>
    <pivotField name="City" axis="axisPage" compact="0" outline="0" multipleItemSelectionAllowed="1" showAll="0">
      <items>
        <item x="0"/>
        <item h="1" x="1"/>
        <item h="1" x="2"/>
        <item h="1" x="3"/>
        <item h="1" x="4"/>
        <item h="1" x="5"/>
        <item h="1" x="6"/>
        <item h="1" x="7"/>
        <item h="1" x="8"/>
        <item h="1" x="9"/>
        <item t="default"/>
      </items>
    </pivotField>
    <pivotField name="Category ID" compact="0" outline="0" multipleItemSelectionAllowed="1" showAll="0">
      <items>
        <item x="0"/>
        <item x="1"/>
        <item x="2"/>
        <item x="3"/>
        <item x="4"/>
        <item x="5"/>
        <item t="default"/>
      </items>
    </pivotField>
    <pivotField name="Category Name" compact="0" outline="0" multipleItemSelectionAllowed="1" showAll="0">
      <items>
        <item x="0"/>
        <item x="1"/>
        <item x="2"/>
        <item x="3"/>
        <item x="4"/>
        <item x="5"/>
        <item t="default"/>
      </items>
    </pivotField>
    <pivotField name="Cost" axis="axisRow" compact="0" numFmtId="165" outline="0" multipleItemSelectionAllowed="1" showAll="0" sortType="descending">
      <items>
        <item x="4"/>
        <item x="7"/>
        <item x="0"/>
        <item x="1"/>
        <item x="8"/>
        <item x="6"/>
        <item x="9"/>
        <item x="2"/>
        <item x="3"/>
        <item x="5"/>
        <item t="default"/>
      </items>
    </pivotField>
  </pivotFields>
  <rowFields>
    <field x="2"/>
    <field x="6"/>
  </rowFields>
  <pageFields>
    <pageField fld="3"/>
  </pageFields>
</pivotTableDefinition>
</file>

<file path=xl/pivotTables/pivotTable4.xml><?xml version="1.0" encoding="utf-8"?>
<pivotTableDefinition xmlns="http://schemas.openxmlformats.org/spreadsheetml/2006/main" name="Specific city category Cost" cacheId="1" dataCaption="" compact="0" compactData="0">
  <location ref="A3:B6" firstHeaderRow="0" firstDataRow="1" firstDataCol="0" rowPageCount="1" colPageCount="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compact="0" outline="0" multipleItemSelectionAllowed="1" showAll="0">
      <items>
        <item x="0"/>
        <item x="1"/>
        <item x="2"/>
        <item x="3"/>
        <item x="4"/>
        <item x="5"/>
        <item x="6"/>
        <item x="7"/>
        <item x="8"/>
        <item t="default"/>
      </items>
    </pivotField>
    <pivotField name="City" axis="axisPage" compact="0" outline="0" multipleItemSelectionAllowed="1" showAll="0">
      <items>
        <item h="1" x="0"/>
        <item h="1" x="1"/>
        <item h="1" x="2"/>
        <item h="1" x="3"/>
        <item h="1" x="4"/>
        <item h="1" x="5"/>
        <item x="6"/>
        <item h="1" x="7"/>
        <item h="1" x="8"/>
        <item h="1" x="9"/>
        <item h="1" x="10"/>
        <item h="1" x="11"/>
        <item h="1" x="12"/>
        <item h="1" x="13"/>
        <item h="1" x="14"/>
        <item h="1" x="15"/>
        <item h="1" x="16"/>
        <item t="default"/>
      </items>
    </pivotField>
    <pivotField name="Category ID" compact="0" outline="0" multipleItemSelectionAllowed="1" showAll="0">
      <items>
        <item x="0"/>
        <item x="1"/>
        <item x="2"/>
        <item x="3"/>
        <item x="4"/>
        <item x="5"/>
        <item t="default"/>
      </items>
    </pivotField>
    <pivotField name="Category Name" axis="axisRow" compact="0" outline="0" multipleItemSelectionAllowed="1" showAll="0" sortType="ascending">
      <items>
        <item x="0"/>
        <item x="1"/>
        <item x="5"/>
        <item x="4"/>
        <item x="3"/>
        <item x="2"/>
        <item t="default"/>
      </items>
    </pivotField>
    <pivotField name="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5"/>
  </rowFields>
  <pageFields>
    <pageField fld="3"/>
  </pageFields>
  <dataFields>
    <dataField name="SUM of Cost" fld="6" showDataAs="percentOfCol" baseField="0" numFmtId="10"/>
  </dataFields>
</pivotTableDefinition>
</file>

<file path=xl/pivotTables/pivotTable5.xml><?xml version="1.0" encoding="utf-8"?>
<pivotTableDefinition xmlns="http://schemas.openxmlformats.org/spreadsheetml/2006/main" name="Max Cost Country" cacheId="1" dataCaption="" compact="0" compactData="0">
  <location ref="A1:C36" firstHeaderRow="0" firstDataRow="2"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axis="axisRow" compact="0" outline="0" multipleItemSelectionAllowed="1" showAll="0" sortType="ascending">
      <items>
        <item x="7"/>
        <item x="4"/>
        <item x="5"/>
        <item x="2"/>
        <item x="3"/>
        <item x="8"/>
        <item x="6"/>
        <item x="1"/>
        <item x="0"/>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Category ID" compact="0" outline="0" multipleItemSelectionAllowed="1" showAll="0">
      <items>
        <item x="0"/>
        <item x="1"/>
        <item x="2"/>
        <item x="3"/>
        <item x="4"/>
        <item x="5"/>
        <item t="default"/>
      </items>
    </pivotField>
    <pivotField name="Category Name" compact="0" outline="0" multipleItemSelectionAllowed="1" showAll="0">
      <items>
        <item x="0"/>
        <item x="1"/>
        <item x="2"/>
        <item x="3"/>
        <item x="4"/>
        <item x="5"/>
        <item t="default"/>
      </items>
    </pivotField>
    <pivotField name="Cost" axis="axisRow" compact="0" numFmtId="165" outline="0" multipleItemSelectionAllowed="1" showAll="0" sortType="descending">
      <items>
        <item x="10"/>
        <item x="18"/>
        <item x="4"/>
        <item x="24"/>
        <item x="16"/>
        <item x="7"/>
        <item x="19"/>
        <item x="0"/>
        <item x="12"/>
        <item x="20"/>
        <item x="14"/>
        <item x="1"/>
        <item x="8"/>
        <item x="22"/>
        <item x="13"/>
        <item x="6"/>
        <item x="21"/>
        <item x="9"/>
        <item x="2"/>
        <item x="15"/>
        <item x="3"/>
        <item x="11"/>
        <item x="23"/>
        <item x="5"/>
        <item x="17"/>
        <item t="default"/>
      </items>
    </pivotField>
  </pivotFields>
  <rowFields>
    <field x="2"/>
    <field x="6"/>
  </rowFields>
</pivotTableDefinition>
</file>

<file path=xl/pivotTables/pivotTable6.xml><?xml version="1.0" encoding="utf-8"?>
<pivotTableDefinition xmlns="http://schemas.openxmlformats.org/spreadsheetml/2006/main" name="Average Cost Per City" cacheId="3" dataCaption="" compact="0" compactData="0">
  <location ref="A1:B19"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ountry" compact="0" outline="0" multipleItemSelectionAllowed="1" showAll="0">
      <items>
        <item x="0"/>
        <item x="1"/>
        <item x="2"/>
        <item x="3"/>
        <item x="4"/>
        <item x="5"/>
        <item x="6"/>
        <item x="7"/>
        <item x="8"/>
        <item t="default"/>
      </items>
    </pivotField>
    <pivotField name="City" axis="axisRow" compact="0" outline="0" multipleItemSelectionAllowed="1" showAll="0" sortType="ascending">
      <items>
        <item x="12"/>
        <item x="9"/>
        <item x="2"/>
        <item x="14"/>
        <item x="1"/>
        <item x="11"/>
        <item x="16"/>
        <item x="10"/>
        <item x="0"/>
        <item x="13"/>
        <item x="6"/>
        <item x="4"/>
        <item x="7"/>
        <item x="8"/>
        <item x="3"/>
        <item x="5"/>
        <item x="15"/>
        <item t="default"/>
      </items>
    </pivotField>
    <pivotField name="Category ID" compact="0" outline="0" multipleItemSelectionAllowed="1" showAll="0">
      <items>
        <item x="0"/>
        <item x="1"/>
        <item x="2"/>
        <item x="3"/>
        <item x="4"/>
        <item x="5"/>
        <item t="default"/>
      </items>
    </pivotField>
    <pivotField name="Category Name" compact="0" outline="0" multipleItemSelectionAllowed="1" showAll="0">
      <items>
        <item x="0"/>
        <item x="1"/>
        <item x="2"/>
        <item x="3"/>
        <item x="4"/>
        <item x="5"/>
        <item t="default"/>
      </items>
    </pivotField>
    <pivotField name="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ice (Analysis)" compact="0" outline="0" multipleItemSelectionAllowed="1" showAll="0">
      <items>
        <item x="0"/>
        <item x="1"/>
        <item t="default"/>
      </items>
    </pivotField>
  </pivotFields>
  <rowFields>
    <field x="3"/>
  </rowFields>
  <dataFields>
    <dataField name="AVERAGE of Cost" fld="6" subtotal="average" baseField="0"/>
  </dataFields>
</pivotTableDefinition>
</file>

<file path=xl/tables/table1.xml><?xml version="1.0" encoding="utf-8"?>
<table xmlns="http://schemas.openxmlformats.org/spreadsheetml/2006/main" headerRowCount="0" ref="A1:R26"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Original S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B26" displayName="Table_2" name="Table_2" id="2">
  <tableColumns count="2">
    <tableColumn name="City" id="1"/>
    <tableColumn name="Cost" id="2"/>
  </tableColumns>
  <tableStyleInfo name="chart-style" showColumnStripes="0" showFirstColumn="1" showLastColumn="1" showRowStripes="1"/>
</table>
</file>

<file path=xl/tables/table3.xml><?xml version="1.0" encoding="utf-8"?>
<table xmlns="http://schemas.openxmlformats.org/spreadsheetml/2006/main" ref="A1:B26" displayName="Table_3" name="Table_3" id="3">
  <tableColumns count="2">
    <tableColumn name="Category ID" id="1"/>
    <tableColumn name="Category Name" id="2"/>
  </tableColumns>
  <tableStyleInfo name="S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paul-harvey.org/" TargetMode="External"/><Relationship Id="rId2" Type="http://schemas.openxmlformats.org/officeDocument/2006/relationships/hyperlink" Target="http://www.paul-harvey.org/opportunities/phds/" TargetMode="External"/><Relationship Id="rId3" Type="http://schemas.openxmlformats.org/officeDocument/2006/relationships/hyperlink" Target="mailto:ameerhamzapu838@gmail.com" TargetMode="External"/><Relationship Id="rId4" Type="http://schemas.openxmlformats.org/officeDocument/2006/relationships/hyperlink" Target="mailto:Paul.Harvey@glasgow.ac.uk" TargetMode="External"/><Relationship Id="rId5" Type="http://schemas.openxmlformats.org/officeDocument/2006/relationships/hyperlink" Target="mailto:ameerhamzapu838@gmail.com" TargetMode="External"/><Relationship Id="rId6" Type="http://schemas.openxmlformats.org/officeDocument/2006/relationships/hyperlink" Target="https://mail.google.com/mail/u/0?ui=2&amp;ik=fe1981b381&amp;view=lg&amp;permmsgid=msg-f:1876476275268850178"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7.5"/>
    <col customWidth="1" min="8" max="9" width="14.63"/>
    <col customWidth="1" min="10" max="10" width="18.63"/>
    <col customWidth="1" min="11" max="11" width="13.13"/>
    <col customWidth="1" min="12" max="12" width="15.0"/>
    <col customWidth="1" min="13" max="13" width="15.5"/>
    <col customWidth="1" min="14" max="14" width="15.88"/>
    <col customWidth="1" min="18" max="18" width="14.63"/>
  </cols>
  <sheetData>
    <row r="1">
      <c r="A1" s="8" t="s">
        <v>1</v>
      </c>
      <c r="B1" s="8" t="s">
        <v>2</v>
      </c>
      <c r="C1" s="9" t="s">
        <v>3</v>
      </c>
      <c r="D1" s="9" t="s">
        <v>4</v>
      </c>
      <c r="E1" s="8" t="s">
        <v>5</v>
      </c>
      <c r="F1" s="9" t="s">
        <v>6</v>
      </c>
      <c r="G1" s="11" t="s">
        <v>7</v>
      </c>
      <c r="H1" s="12" t="s">
        <v>48</v>
      </c>
      <c r="I1" s="12" t="s">
        <v>50</v>
      </c>
      <c r="J1" s="12" t="s">
        <v>52</v>
      </c>
      <c r="K1" s="12" t="s">
        <v>54</v>
      </c>
      <c r="L1" s="12" t="s">
        <v>55</v>
      </c>
      <c r="M1" s="12" t="s">
        <v>31</v>
      </c>
      <c r="N1" s="13"/>
      <c r="O1" s="12" t="s">
        <v>59</v>
      </c>
      <c r="P1" s="12" t="s">
        <v>60</v>
      </c>
      <c r="Q1" s="12" t="s">
        <v>61</v>
      </c>
      <c r="R1" s="12" t="s">
        <v>63</v>
      </c>
    </row>
    <row r="2">
      <c r="A2" s="14" t="s">
        <v>11</v>
      </c>
      <c r="B2" s="15">
        <v>45306.0</v>
      </c>
      <c r="C2" s="16" t="s">
        <v>12</v>
      </c>
      <c r="D2" s="16" t="s">
        <v>13</v>
      </c>
      <c r="E2" s="14" t="s">
        <v>14</v>
      </c>
      <c r="F2" s="16" t="str">
        <f>VLOOKUP(E2,'S2'!$A$2:$B$26,2,false)</f>
        <v>Cloud &amp; IT Infrastructure</v>
      </c>
      <c r="G2" s="19">
        <v>4250.0</v>
      </c>
      <c r="H2" s="23" t="str">
        <f t="shared" ref="H2:H26" si="1">if(G2&gt;1000, "Expensive", "Cheep")</f>
        <v>Expensive</v>
      </c>
      <c r="I2" s="23" t="str">
        <f t="array" ref="I2:I10">UNIQUE(C2:C26)</f>
        <v>United States</v>
      </c>
      <c r="J2" s="1">
        <f>IFERROR(__xludf.DUMMYFUNCTION("countunique(C2:C26)"),9.0)</f>
        <v>9</v>
      </c>
      <c r="K2" s="23" t="str">
        <f t="array" ref="K2:K18">unique(D2:D26)</f>
        <v>New York</v>
      </c>
      <c r="L2" s="1">
        <f>IFERROR(__xludf.DUMMYFUNCTION("COUNTUNIQUE(D2:D26)"),17.0)</f>
        <v>17</v>
      </c>
      <c r="M2" s="1">
        <f>sumif(F2:F26,M1,G2:G26)</f>
        <v>5580</v>
      </c>
      <c r="N2" s="1"/>
      <c r="O2" s="1" t="str">
        <f t="shared" ref="O2:O26" si="2">left(C2,3)</f>
        <v>Uni</v>
      </c>
      <c r="P2" s="1" t="str">
        <f>RIGHT(K2,2)</f>
        <v>rk</v>
      </c>
      <c r="Q2" s="1">
        <f t="shared" ref="Q2:Q26" si="3">find("e",C2)</f>
        <v>5</v>
      </c>
      <c r="R2" s="1" t="str">
        <f t="shared" ref="R2:R26" si="4">mid(F2,2,3)</f>
        <v>lou</v>
      </c>
    </row>
    <row r="3">
      <c r="A3" s="14" t="s">
        <v>18</v>
      </c>
      <c r="B3" s="15">
        <v>45307.0</v>
      </c>
      <c r="C3" s="16" t="s">
        <v>0</v>
      </c>
      <c r="D3" s="16" t="s">
        <v>19</v>
      </c>
      <c r="E3" s="14" t="s">
        <v>20</v>
      </c>
      <c r="F3" s="16" t="str">
        <f>VLOOKUP(E3,'S2'!$A$2:$B$26,2,false)</f>
        <v>Marketing &amp; Advertising</v>
      </c>
      <c r="G3" s="19">
        <v>3100.5</v>
      </c>
      <c r="H3" s="23" t="str">
        <f t="shared" si="1"/>
        <v>Expensive</v>
      </c>
      <c r="I3" s="1" t="s">
        <v>0</v>
      </c>
      <c r="J3" s="1"/>
      <c r="K3" s="1" t="s">
        <v>19</v>
      </c>
      <c r="L3" s="1"/>
      <c r="M3" s="1"/>
      <c r="N3" s="1"/>
      <c r="O3" s="1" t="str">
        <f t="shared" si="2"/>
        <v>Uni</v>
      </c>
      <c r="P3" s="1" t="str">
        <f t="shared" ref="P3:P26" si="5">RIGHT(D3,2)</f>
        <v>on</v>
      </c>
      <c r="Q3" s="1">
        <f t="shared" si="3"/>
        <v>5</v>
      </c>
      <c r="R3" s="1" t="str">
        <f t="shared" si="4"/>
        <v>ark</v>
      </c>
    </row>
    <row r="4">
      <c r="A4" s="14" t="s">
        <v>22</v>
      </c>
      <c r="B4" s="15">
        <v>45308.0</v>
      </c>
      <c r="C4" s="16" t="s">
        <v>23</v>
      </c>
      <c r="D4" s="16" t="s">
        <v>24</v>
      </c>
      <c r="E4" s="14" t="s">
        <v>25</v>
      </c>
      <c r="F4" s="16" t="str">
        <f>VLOOKUP(E4,'S2'!$A$2:$B$26,2,false)</f>
        <v>Travel &amp; Entertainment</v>
      </c>
      <c r="G4" s="19">
        <v>1240.75</v>
      </c>
      <c r="H4" s="23" t="str">
        <f t="shared" si="1"/>
        <v>Expensive</v>
      </c>
      <c r="I4" s="1" t="s">
        <v>23</v>
      </c>
      <c r="J4" s="1"/>
      <c r="K4" s="1" t="s">
        <v>24</v>
      </c>
      <c r="L4" s="1"/>
      <c r="M4" s="23" t="s">
        <v>31</v>
      </c>
      <c r="N4" s="23"/>
      <c r="O4" s="1" t="str">
        <f t="shared" si="2"/>
        <v>Ger</v>
      </c>
      <c r="P4" s="1" t="str">
        <f t="shared" si="5"/>
        <v>in</v>
      </c>
      <c r="Q4" s="1">
        <f t="shared" si="3"/>
        <v>2</v>
      </c>
      <c r="R4" s="1" t="str">
        <f t="shared" si="4"/>
        <v>rav</v>
      </c>
    </row>
    <row r="5">
      <c r="A5" s="14" t="s">
        <v>27</v>
      </c>
      <c r="B5" s="15">
        <v>45309.0</v>
      </c>
      <c r="C5" s="16" t="s">
        <v>28</v>
      </c>
      <c r="D5" s="16" t="s">
        <v>29</v>
      </c>
      <c r="E5" s="14" t="s">
        <v>30</v>
      </c>
      <c r="F5" s="16" t="str">
        <f>VLOOKUP(E5,'S2'!$A$2:$B$26,2,false)</f>
        <v>Software Licenses</v>
      </c>
      <c r="G5" s="19">
        <v>850.0</v>
      </c>
      <c r="H5" s="23" t="str">
        <f t="shared" si="1"/>
        <v>Cheep</v>
      </c>
      <c r="I5" s="1" t="s">
        <v>28</v>
      </c>
      <c r="J5" s="1"/>
      <c r="K5" s="1" t="s">
        <v>29</v>
      </c>
      <c r="L5" s="1"/>
      <c r="M5" s="31" t="s">
        <v>103</v>
      </c>
      <c r="N5" s="1"/>
      <c r="O5" s="1" t="str">
        <f t="shared" si="2"/>
        <v>Jap</v>
      </c>
      <c r="P5" s="1" t="str">
        <f t="shared" si="5"/>
        <v>yo</v>
      </c>
      <c r="Q5" s="1" t="str">
        <f t="shared" si="3"/>
        <v>#VALUE!</v>
      </c>
      <c r="R5" s="1" t="str">
        <f t="shared" si="4"/>
        <v>oft</v>
      </c>
    </row>
    <row r="6">
      <c r="A6" s="14" t="s">
        <v>32</v>
      </c>
      <c r="B6" s="15">
        <v>45310.0</v>
      </c>
      <c r="C6" s="16" t="s">
        <v>12</v>
      </c>
      <c r="D6" s="16" t="s">
        <v>33</v>
      </c>
      <c r="E6" s="14" t="s">
        <v>34</v>
      </c>
      <c r="F6" s="16" t="str">
        <f>VLOOKUP(E6,'S2'!$A$2:$B$26,2,false)</f>
        <v>Professional Services</v>
      </c>
      <c r="G6" s="19">
        <v>6400.0</v>
      </c>
      <c r="H6" s="23" t="str">
        <f t="shared" si="1"/>
        <v>Expensive</v>
      </c>
      <c r="I6" s="1" t="s">
        <v>38</v>
      </c>
      <c r="J6" s="1"/>
      <c r="K6" s="1" t="s">
        <v>33</v>
      </c>
      <c r="L6" s="1"/>
      <c r="M6" s="1">
        <f>sumif(C2:C26,C5,G2:G26)</f>
        <v>2950.25</v>
      </c>
      <c r="N6" s="1"/>
      <c r="O6" s="1" t="str">
        <f t="shared" si="2"/>
        <v>Uni</v>
      </c>
      <c r="P6" s="1" t="str">
        <f t="shared" si="5"/>
        <v>co</v>
      </c>
      <c r="Q6" s="1">
        <f t="shared" si="3"/>
        <v>5</v>
      </c>
      <c r="R6" s="1" t="str">
        <f t="shared" si="4"/>
        <v>rof</v>
      </c>
    </row>
    <row r="7">
      <c r="A7" s="14" t="s">
        <v>37</v>
      </c>
      <c r="B7" s="15">
        <v>45311.0</v>
      </c>
      <c r="C7" s="16" t="s">
        <v>38</v>
      </c>
      <c r="D7" s="16" t="s">
        <v>39</v>
      </c>
      <c r="E7" s="14" t="s">
        <v>40</v>
      </c>
      <c r="F7" s="16" t="str">
        <f>VLOOKUP(E7,'S2'!$A$2:$B$26,2,false)</f>
        <v>Office Supplies</v>
      </c>
      <c r="G7" s="19">
        <v>420.3</v>
      </c>
      <c r="H7" s="23" t="str">
        <f t="shared" si="1"/>
        <v>Cheep</v>
      </c>
      <c r="I7" s="1" t="s">
        <v>43</v>
      </c>
      <c r="J7" s="1"/>
      <c r="K7" s="1" t="s">
        <v>39</v>
      </c>
      <c r="L7" s="1"/>
      <c r="M7" s="1"/>
      <c r="N7" s="1"/>
      <c r="O7" s="1" t="str">
        <f t="shared" si="2"/>
        <v>Can</v>
      </c>
      <c r="P7" s="1" t="str">
        <f t="shared" si="5"/>
        <v>to</v>
      </c>
      <c r="Q7" s="1" t="str">
        <f t="shared" si="3"/>
        <v>#VALUE!</v>
      </c>
      <c r="R7" s="1" t="str">
        <f t="shared" si="4"/>
        <v>ffi</v>
      </c>
    </row>
    <row r="8">
      <c r="A8" s="14" t="s">
        <v>42</v>
      </c>
      <c r="B8" s="15">
        <v>45312.0</v>
      </c>
      <c r="C8" s="16" t="s">
        <v>43</v>
      </c>
      <c r="D8" s="16" t="s">
        <v>44</v>
      </c>
      <c r="E8" s="14" t="s">
        <v>25</v>
      </c>
      <c r="F8" s="16" t="str">
        <f>VLOOKUP(E8,'S2'!$A$2:$B$26,2,false)</f>
        <v>Travel &amp; Entertainment</v>
      </c>
      <c r="G8" s="19">
        <v>1850.0</v>
      </c>
      <c r="H8" s="23" t="str">
        <f t="shared" si="1"/>
        <v>Expensive</v>
      </c>
      <c r="I8" s="1" t="s">
        <v>53</v>
      </c>
      <c r="J8" s="1"/>
      <c r="K8" s="1" t="s">
        <v>44</v>
      </c>
      <c r="L8" s="1"/>
      <c r="M8" s="1"/>
      <c r="N8" s="1"/>
      <c r="O8" s="1" t="str">
        <f t="shared" si="2"/>
        <v>Fra</v>
      </c>
      <c r="P8" s="1" t="str">
        <f t="shared" si="5"/>
        <v>is</v>
      </c>
      <c r="Q8" s="1">
        <f t="shared" si="3"/>
        <v>6</v>
      </c>
      <c r="R8" s="1" t="str">
        <f t="shared" si="4"/>
        <v>rav</v>
      </c>
    </row>
    <row r="9">
      <c r="A9" s="14" t="s">
        <v>51</v>
      </c>
      <c r="B9" s="15">
        <v>45313.0</v>
      </c>
      <c r="C9" s="16" t="s">
        <v>53</v>
      </c>
      <c r="D9" s="16" t="s">
        <v>53</v>
      </c>
      <c r="E9" s="14" t="s">
        <v>14</v>
      </c>
      <c r="F9" s="16" t="str">
        <f>VLOOKUP(E9,'S2'!$A$2:$B$26,2,false)</f>
        <v>Cloud &amp; IT Infrastructure</v>
      </c>
      <c r="G9" s="19">
        <v>5120.0</v>
      </c>
      <c r="H9" s="23" t="str">
        <f t="shared" si="1"/>
        <v>Expensive</v>
      </c>
      <c r="I9" s="1" t="s">
        <v>57</v>
      </c>
      <c r="J9" s="1"/>
      <c r="K9" s="1" t="s">
        <v>53</v>
      </c>
      <c r="L9" s="1"/>
      <c r="M9" s="31" t="s">
        <v>23</v>
      </c>
      <c r="N9" s="31" t="s">
        <v>26</v>
      </c>
      <c r="O9" s="1" t="str">
        <f t="shared" si="2"/>
        <v>Sin</v>
      </c>
      <c r="P9" s="1" t="str">
        <f t="shared" si="5"/>
        <v>re</v>
      </c>
      <c r="Q9" s="1">
        <f t="shared" si="3"/>
        <v>9</v>
      </c>
      <c r="R9" s="1" t="str">
        <f t="shared" si="4"/>
        <v>lou</v>
      </c>
    </row>
    <row r="10">
      <c r="A10" s="14" t="s">
        <v>56</v>
      </c>
      <c r="B10" s="15">
        <v>45314.0</v>
      </c>
      <c r="C10" s="16" t="s">
        <v>57</v>
      </c>
      <c r="D10" s="16" t="s">
        <v>58</v>
      </c>
      <c r="E10" s="14" t="s">
        <v>20</v>
      </c>
      <c r="F10" s="16" t="str">
        <f>VLOOKUP(E10,'S2'!$A$2:$B$26,2,false)</f>
        <v>Marketing &amp; Advertising</v>
      </c>
      <c r="G10" s="19">
        <v>2750.0</v>
      </c>
      <c r="H10" s="23" t="str">
        <f t="shared" si="1"/>
        <v>Expensive</v>
      </c>
      <c r="I10" s="1" t="s">
        <v>73</v>
      </c>
      <c r="J10" s="1"/>
      <c r="K10" s="1" t="s">
        <v>58</v>
      </c>
      <c r="L10" s="1"/>
      <c r="M10" s="1"/>
      <c r="N10" s="1"/>
      <c r="O10" s="1" t="str">
        <f t="shared" si="2"/>
        <v>Aus</v>
      </c>
      <c r="P10" s="1" t="str">
        <f t="shared" si="5"/>
        <v>ey</v>
      </c>
      <c r="Q10" s="1" t="str">
        <f t="shared" si="3"/>
        <v>#VALUE!</v>
      </c>
      <c r="R10" s="1" t="str">
        <f t="shared" si="4"/>
        <v>ark</v>
      </c>
    </row>
    <row r="11">
      <c r="A11" s="14" t="s">
        <v>62</v>
      </c>
      <c r="B11" s="15">
        <v>45315.0</v>
      </c>
      <c r="C11" s="16" t="s">
        <v>12</v>
      </c>
      <c r="D11" s="16" t="s">
        <v>64</v>
      </c>
      <c r="E11" s="14" t="s">
        <v>30</v>
      </c>
      <c r="F11" s="16" t="str">
        <f>VLOOKUP(E11,'S2'!$A$2:$B$26,2,false)</f>
        <v>Software Licenses</v>
      </c>
      <c r="G11" s="19">
        <v>1450.0</v>
      </c>
      <c r="H11" s="23" t="str">
        <f t="shared" si="1"/>
        <v>Expensive</v>
      </c>
      <c r="I11" s="1"/>
      <c r="J11" s="1"/>
      <c r="K11" s="1" t="s">
        <v>64</v>
      </c>
      <c r="L11" s="1"/>
      <c r="M11" s="1"/>
      <c r="N11" s="1"/>
      <c r="O11" s="1" t="str">
        <f t="shared" si="2"/>
        <v>Uni</v>
      </c>
      <c r="P11" s="1" t="str">
        <f t="shared" si="5"/>
        <v>in</v>
      </c>
      <c r="Q11" s="1">
        <f t="shared" si="3"/>
        <v>5</v>
      </c>
      <c r="R11" s="1" t="str">
        <f t="shared" si="4"/>
        <v>oft</v>
      </c>
    </row>
    <row r="12">
      <c r="A12" s="14" t="s">
        <v>65</v>
      </c>
      <c r="B12" s="15">
        <v>45316.0</v>
      </c>
      <c r="C12" s="16" t="s">
        <v>23</v>
      </c>
      <c r="D12" s="16" t="s">
        <v>66</v>
      </c>
      <c r="E12" s="14" t="s">
        <v>34</v>
      </c>
      <c r="F12" s="16" t="str">
        <f>VLOOKUP(E12,'S2'!$A$2:$B$26,2,false)</f>
        <v>Professional Services</v>
      </c>
      <c r="G12" s="19">
        <v>7200.0</v>
      </c>
      <c r="H12" s="23" t="str">
        <f t="shared" si="1"/>
        <v>Expensive</v>
      </c>
      <c r="I12" s="1"/>
      <c r="J12" s="1"/>
      <c r="K12" s="1" t="s">
        <v>66</v>
      </c>
      <c r="L12" s="1"/>
      <c r="M12" s="1">
        <f>sumifs(G2:G26,C2:C26,M9,F2:F26,N9)</f>
        <v>1240.75</v>
      </c>
      <c r="N12" s="1"/>
      <c r="O12" s="1" t="str">
        <f t="shared" si="2"/>
        <v>Ger</v>
      </c>
      <c r="P12" s="1" t="str">
        <f t="shared" si="5"/>
        <v>ch</v>
      </c>
      <c r="Q12" s="1">
        <f t="shared" si="3"/>
        <v>2</v>
      </c>
      <c r="R12" s="1" t="str">
        <f t="shared" si="4"/>
        <v>rof</v>
      </c>
    </row>
    <row r="13">
      <c r="A13" s="14" t="s">
        <v>68</v>
      </c>
      <c r="B13" s="15">
        <v>45317.0</v>
      </c>
      <c r="C13" s="16" t="s">
        <v>0</v>
      </c>
      <c r="D13" s="16" t="s">
        <v>70</v>
      </c>
      <c r="E13" s="14" t="s">
        <v>40</v>
      </c>
      <c r="F13" s="16" t="str">
        <f>VLOOKUP(E13,'S2'!$A$2:$B$26,2,false)</f>
        <v>Office Supplies</v>
      </c>
      <c r="G13" s="19">
        <v>630.5</v>
      </c>
      <c r="H13" s="23" t="str">
        <f t="shared" si="1"/>
        <v>Cheep</v>
      </c>
      <c r="I13" s="1"/>
      <c r="J13" s="1"/>
      <c r="K13" s="1" t="s">
        <v>70</v>
      </c>
      <c r="L13" s="1"/>
      <c r="M13" s="1"/>
      <c r="N13" s="1"/>
      <c r="O13" s="1" t="str">
        <f t="shared" si="2"/>
        <v>Uni</v>
      </c>
      <c r="P13" s="1" t="str">
        <f t="shared" si="5"/>
        <v>er</v>
      </c>
      <c r="Q13" s="1">
        <f t="shared" si="3"/>
        <v>5</v>
      </c>
      <c r="R13" s="1" t="str">
        <f t="shared" si="4"/>
        <v>ffi</v>
      </c>
    </row>
    <row r="14">
      <c r="A14" s="14" t="s">
        <v>72</v>
      </c>
      <c r="B14" s="15">
        <v>45318.0</v>
      </c>
      <c r="C14" s="16" t="s">
        <v>73</v>
      </c>
      <c r="D14" s="16" t="s">
        <v>74</v>
      </c>
      <c r="E14" s="14" t="s">
        <v>20</v>
      </c>
      <c r="F14" s="16" t="str">
        <f>VLOOKUP(E14,'S2'!$A$2:$B$26,2,false)</f>
        <v>Marketing &amp; Advertising</v>
      </c>
      <c r="G14" s="19">
        <v>4100.0</v>
      </c>
      <c r="H14" s="23" t="str">
        <f t="shared" si="1"/>
        <v>Expensive</v>
      </c>
      <c r="I14" s="1"/>
      <c r="J14" s="1"/>
      <c r="K14" s="1" t="s">
        <v>74</v>
      </c>
      <c r="L14" s="1"/>
      <c r="M14" s="1"/>
      <c r="N14" s="16" t="s">
        <v>13</v>
      </c>
      <c r="O14" s="1" t="str">
        <f t="shared" si="2"/>
        <v>Net</v>
      </c>
      <c r="P14" s="1" t="str">
        <f t="shared" si="5"/>
        <v>am</v>
      </c>
      <c r="Q14" s="1">
        <f t="shared" si="3"/>
        <v>2</v>
      </c>
      <c r="R14" s="1" t="str">
        <f t="shared" si="4"/>
        <v>ark</v>
      </c>
    </row>
    <row r="15">
      <c r="A15" s="14" t="s">
        <v>75</v>
      </c>
      <c r="B15" s="15">
        <v>45319.0</v>
      </c>
      <c r="C15" s="16" t="s">
        <v>28</v>
      </c>
      <c r="D15" s="16" t="s">
        <v>76</v>
      </c>
      <c r="E15" s="14" t="s">
        <v>25</v>
      </c>
      <c r="F15" s="16" t="str">
        <f>VLOOKUP(E15,'S2'!$A$2:$B$26,2,false)</f>
        <v>Travel &amp; Entertainment</v>
      </c>
      <c r="G15" s="19">
        <v>2100.25</v>
      </c>
      <c r="H15" s="23" t="str">
        <f t="shared" si="1"/>
        <v>Expensive</v>
      </c>
      <c r="I15" s="1"/>
      <c r="J15" s="1"/>
      <c r="K15" s="1" t="s">
        <v>76</v>
      </c>
      <c r="L15" s="1"/>
      <c r="M15" s="1"/>
      <c r="N15" s="1"/>
      <c r="O15" s="1" t="str">
        <f t="shared" si="2"/>
        <v>Jap</v>
      </c>
      <c r="P15" s="1" t="str">
        <f t="shared" si="5"/>
        <v>ka</v>
      </c>
      <c r="Q15" s="1" t="str">
        <f t="shared" si="3"/>
        <v>#VALUE!</v>
      </c>
      <c r="R15" s="1" t="str">
        <f t="shared" si="4"/>
        <v>rav</v>
      </c>
    </row>
    <row r="16">
      <c r="A16" s="14" t="s">
        <v>77</v>
      </c>
      <c r="B16" s="15">
        <v>45320.0</v>
      </c>
      <c r="C16" s="16" t="s">
        <v>12</v>
      </c>
      <c r="D16" s="16" t="s">
        <v>78</v>
      </c>
      <c r="E16" s="14" t="s">
        <v>14</v>
      </c>
      <c r="F16" s="34" t="str">
        <f>VLOOKUP(E16,'S2'!$A$2:$B$26,2,false)</f>
        <v>Cloud &amp; IT Infrastructure</v>
      </c>
      <c r="G16" s="19">
        <v>3890.0</v>
      </c>
      <c r="H16" s="23" t="str">
        <f t="shared" si="1"/>
        <v>Expensive</v>
      </c>
      <c r="I16" s="1"/>
      <c r="J16" s="1"/>
      <c r="K16" s="1" t="s">
        <v>78</v>
      </c>
      <c r="L16" s="1"/>
      <c r="M16" s="35" t="s">
        <v>104</v>
      </c>
      <c r="N16" s="1"/>
      <c r="O16" s="1" t="str">
        <f t="shared" si="2"/>
        <v>Uni</v>
      </c>
      <c r="P16" s="1" t="str">
        <f t="shared" si="5"/>
        <v>go</v>
      </c>
      <c r="Q16" s="1">
        <f t="shared" si="3"/>
        <v>5</v>
      </c>
      <c r="R16" s="1" t="str">
        <f t="shared" si="4"/>
        <v>lou</v>
      </c>
    </row>
    <row r="17">
      <c r="A17" s="14" t="s">
        <v>79</v>
      </c>
      <c r="B17" s="15">
        <v>45321.0</v>
      </c>
      <c r="C17" s="16" t="s">
        <v>38</v>
      </c>
      <c r="D17" s="16" t="s">
        <v>80</v>
      </c>
      <c r="E17" s="14" t="s">
        <v>30</v>
      </c>
      <c r="F17" s="16" t="str">
        <f>VLOOKUP(E17,'S2'!$A$2:$B$26,2,false)</f>
        <v>Software Licenses</v>
      </c>
      <c r="G17" s="19">
        <v>980.0</v>
      </c>
      <c r="H17" s="23" t="str">
        <f t="shared" si="1"/>
        <v>Cheep</v>
      </c>
      <c r="I17" s="1"/>
      <c r="J17" s="1"/>
      <c r="K17" s="1" t="s">
        <v>80</v>
      </c>
      <c r="L17" s="1"/>
      <c r="M17" s="1">
        <f>countif(D2:D26,N14)</f>
        <v>2</v>
      </c>
      <c r="N17" s="1"/>
      <c r="O17" s="1" t="str">
        <f t="shared" si="2"/>
        <v>Can</v>
      </c>
      <c r="P17" s="1" t="str">
        <f t="shared" si="5"/>
        <v>er</v>
      </c>
      <c r="Q17" s="1" t="str">
        <f t="shared" si="3"/>
        <v>#VALUE!</v>
      </c>
      <c r="R17" s="1" t="str">
        <f t="shared" si="4"/>
        <v>oft</v>
      </c>
    </row>
    <row r="18">
      <c r="A18" s="14" t="s">
        <v>81</v>
      </c>
      <c r="B18" s="15">
        <v>45322.0</v>
      </c>
      <c r="C18" s="16" t="s">
        <v>0</v>
      </c>
      <c r="D18" s="16" t="s">
        <v>19</v>
      </c>
      <c r="E18" s="14" t="s">
        <v>34</v>
      </c>
      <c r="F18" s="16" t="str">
        <f>VLOOKUP(E18,'S2'!$A$2:$B$26,2,false)</f>
        <v>Professional Services</v>
      </c>
      <c r="G18" s="19">
        <v>5500.0</v>
      </c>
      <c r="H18" s="23" t="str">
        <f t="shared" si="1"/>
        <v>Expensive</v>
      </c>
      <c r="I18" s="1"/>
      <c r="J18" s="1"/>
      <c r="K18" s="1" t="s">
        <v>83</v>
      </c>
      <c r="L18" s="1"/>
      <c r="M18" s="1"/>
      <c r="N18" s="1"/>
      <c r="O18" s="1" t="str">
        <f t="shared" si="2"/>
        <v>Uni</v>
      </c>
      <c r="P18" s="1" t="str">
        <f t="shared" si="5"/>
        <v>on</v>
      </c>
      <c r="Q18" s="1">
        <f t="shared" si="3"/>
        <v>5</v>
      </c>
      <c r="R18" s="1" t="str">
        <f t="shared" si="4"/>
        <v>rof</v>
      </c>
    </row>
    <row r="19">
      <c r="A19" s="14" t="s">
        <v>82</v>
      </c>
      <c r="B19" s="15">
        <v>45323.0</v>
      </c>
      <c r="C19" s="16" t="s">
        <v>57</v>
      </c>
      <c r="D19" s="16" t="s">
        <v>83</v>
      </c>
      <c r="E19" s="14" t="s">
        <v>40</v>
      </c>
      <c r="F19" s="16" t="str">
        <f>VLOOKUP(E19,'S2'!$A$2:$B$26,2,false)</f>
        <v>Office Supplies</v>
      </c>
      <c r="G19" s="19">
        <v>315.8</v>
      </c>
      <c r="H19" s="23" t="str">
        <f t="shared" si="1"/>
        <v>Cheep</v>
      </c>
      <c r="I19" s="1"/>
      <c r="J19" s="1"/>
      <c r="K19" s="1"/>
      <c r="L19" s="1"/>
      <c r="M19" s="1"/>
      <c r="N19" s="1"/>
      <c r="O19" s="1" t="str">
        <f t="shared" si="2"/>
        <v>Aus</v>
      </c>
      <c r="P19" s="1" t="str">
        <f t="shared" si="5"/>
        <v>ne</v>
      </c>
      <c r="Q19" s="1" t="str">
        <f t="shared" si="3"/>
        <v>#VALUE!</v>
      </c>
      <c r="R19" s="1" t="str">
        <f t="shared" si="4"/>
        <v>ffi</v>
      </c>
    </row>
    <row r="20">
      <c r="A20" s="14" t="s">
        <v>84</v>
      </c>
      <c r="B20" s="15">
        <v>45324.0</v>
      </c>
      <c r="C20" s="16" t="s">
        <v>12</v>
      </c>
      <c r="D20" s="16" t="s">
        <v>13</v>
      </c>
      <c r="E20" s="14" t="s">
        <v>20</v>
      </c>
      <c r="F20" s="16" t="str">
        <f>VLOOKUP(E20,'S2'!$A$2:$B$26,2,false)</f>
        <v>Marketing &amp; Advertising</v>
      </c>
      <c r="G20" s="19">
        <v>6800.0</v>
      </c>
      <c r="H20" s="23" t="str">
        <f t="shared" si="1"/>
        <v>Expensive</v>
      </c>
      <c r="I20" s="1"/>
      <c r="J20" s="1"/>
      <c r="K20" s="1"/>
      <c r="L20" s="1"/>
      <c r="M20" s="1"/>
      <c r="N20" s="1"/>
      <c r="O20" s="1" t="str">
        <f t="shared" si="2"/>
        <v>Uni</v>
      </c>
      <c r="P20" s="1" t="str">
        <f t="shared" si="5"/>
        <v>rk</v>
      </c>
      <c r="Q20" s="1">
        <f t="shared" si="3"/>
        <v>5</v>
      </c>
      <c r="R20" s="1" t="str">
        <f t="shared" si="4"/>
        <v>ark</v>
      </c>
    </row>
    <row r="21">
      <c r="A21" s="14" t="s">
        <v>85</v>
      </c>
      <c r="B21" s="15">
        <v>45325.0</v>
      </c>
      <c r="C21" s="16" t="s">
        <v>23</v>
      </c>
      <c r="D21" s="16" t="s">
        <v>24</v>
      </c>
      <c r="E21" s="14" t="s">
        <v>14</v>
      </c>
      <c r="F21" s="16" t="str">
        <f>VLOOKUP(E21,'S2'!$A$2:$B$26,2,false)</f>
        <v>Cloud &amp; IT Infrastructure</v>
      </c>
      <c r="G21" s="19">
        <v>4750.0</v>
      </c>
      <c r="H21" s="23" t="str">
        <f t="shared" si="1"/>
        <v>Expensive</v>
      </c>
      <c r="I21" s="1"/>
      <c r="J21" s="1"/>
      <c r="K21" s="1"/>
      <c r="L21" s="1"/>
      <c r="M21" s="1"/>
      <c r="N21" s="1"/>
      <c r="O21" s="1" t="str">
        <f t="shared" si="2"/>
        <v>Ger</v>
      </c>
      <c r="P21" s="1" t="str">
        <f t="shared" si="5"/>
        <v>in</v>
      </c>
      <c r="Q21" s="1">
        <f t="shared" si="3"/>
        <v>2</v>
      </c>
      <c r="R21" s="1" t="str">
        <f t="shared" si="4"/>
        <v>lou</v>
      </c>
    </row>
    <row r="22">
      <c r="A22" s="14" t="s">
        <v>87</v>
      </c>
      <c r="B22" s="15">
        <v>45326.0</v>
      </c>
      <c r="C22" s="16" t="s">
        <v>43</v>
      </c>
      <c r="D22" s="16" t="s">
        <v>44</v>
      </c>
      <c r="E22" s="14" t="s">
        <v>34</v>
      </c>
      <c r="F22" s="16" t="str">
        <f>VLOOKUP(E22,'S2'!$A$2:$B$26,2,false)</f>
        <v>Professional Services</v>
      </c>
      <c r="G22" s="19">
        <v>3900.0</v>
      </c>
      <c r="H22" s="23" t="str">
        <f t="shared" si="1"/>
        <v>Expensive</v>
      </c>
      <c r="I22" s="1"/>
      <c r="J22" s="1"/>
      <c r="K22" s="1"/>
      <c r="L22" s="1"/>
      <c r="M22" s="1"/>
      <c r="N22" s="1"/>
      <c r="O22" s="1" t="str">
        <f t="shared" si="2"/>
        <v>Fra</v>
      </c>
      <c r="P22" s="1" t="str">
        <f t="shared" si="5"/>
        <v>is</v>
      </c>
      <c r="Q22" s="1">
        <f t="shared" si="3"/>
        <v>6</v>
      </c>
      <c r="R22" s="1" t="str">
        <f t="shared" si="4"/>
        <v>rof</v>
      </c>
    </row>
    <row r="23">
      <c r="A23" s="14" t="s">
        <v>88</v>
      </c>
      <c r="B23" s="15">
        <v>45327.0</v>
      </c>
      <c r="C23" s="16" t="s">
        <v>53</v>
      </c>
      <c r="D23" s="16" t="s">
        <v>53</v>
      </c>
      <c r="E23" s="14" t="s">
        <v>25</v>
      </c>
      <c r="F23" s="16" t="str">
        <f>VLOOKUP(E23,'S2'!$A$2:$B$26,2,false)</f>
        <v>Travel &amp; Entertainment</v>
      </c>
      <c r="G23" s="19">
        <v>1680.4</v>
      </c>
      <c r="H23" s="23" t="str">
        <f t="shared" si="1"/>
        <v>Expensive</v>
      </c>
      <c r="I23" s="1"/>
      <c r="J23" s="1"/>
      <c r="K23" s="1"/>
      <c r="L23" s="1"/>
      <c r="M23" s="1"/>
      <c r="N23" s="1"/>
      <c r="O23" s="1" t="str">
        <f t="shared" si="2"/>
        <v>Sin</v>
      </c>
      <c r="P23" s="1" t="str">
        <f t="shared" si="5"/>
        <v>re</v>
      </c>
      <c r="Q23" s="1">
        <f t="shared" si="3"/>
        <v>9</v>
      </c>
      <c r="R23" s="1" t="str">
        <f t="shared" si="4"/>
        <v>rav</v>
      </c>
    </row>
    <row r="24">
      <c r="A24" s="14" t="s">
        <v>90</v>
      </c>
      <c r="B24" s="15">
        <v>45328.0</v>
      </c>
      <c r="C24" s="16" t="s">
        <v>12</v>
      </c>
      <c r="D24" s="16" t="s">
        <v>33</v>
      </c>
      <c r="E24" s="14" t="s">
        <v>30</v>
      </c>
      <c r="F24" s="16" t="str">
        <f>VLOOKUP(E24,'S2'!$A$2:$B$26,2,false)</f>
        <v>Software Licenses</v>
      </c>
      <c r="G24" s="19">
        <v>2300.0</v>
      </c>
      <c r="H24" s="23" t="str">
        <f t="shared" si="1"/>
        <v>Expensive</v>
      </c>
      <c r="I24" s="1"/>
      <c r="J24" s="1"/>
      <c r="K24" s="1"/>
      <c r="L24" s="1"/>
      <c r="M24" s="1"/>
      <c r="N24" s="1"/>
      <c r="O24" s="1" t="str">
        <f t="shared" si="2"/>
        <v>Uni</v>
      </c>
      <c r="P24" s="1" t="str">
        <f t="shared" si="5"/>
        <v>co</v>
      </c>
      <c r="Q24" s="1">
        <f t="shared" si="3"/>
        <v>5</v>
      </c>
      <c r="R24" s="1" t="str">
        <f t="shared" si="4"/>
        <v>oft</v>
      </c>
    </row>
    <row r="25">
      <c r="A25" s="14" t="s">
        <v>92</v>
      </c>
      <c r="B25" s="15">
        <v>45329.0</v>
      </c>
      <c r="C25" s="16" t="s">
        <v>73</v>
      </c>
      <c r="D25" s="16" t="s">
        <v>74</v>
      </c>
      <c r="E25" s="14" t="s">
        <v>40</v>
      </c>
      <c r="F25" s="16" t="str">
        <f>VLOOKUP(E25,'S2'!$A$2:$B$26,2,false)</f>
        <v>Office Supplies</v>
      </c>
      <c r="G25" s="19">
        <v>540.0</v>
      </c>
      <c r="H25" s="23" t="str">
        <f t="shared" si="1"/>
        <v>Cheep</v>
      </c>
      <c r="I25" s="1"/>
      <c r="J25" s="1"/>
      <c r="K25" s="1"/>
      <c r="L25" s="1"/>
      <c r="M25" s="1"/>
      <c r="N25" s="1"/>
      <c r="O25" s="1" t="str">
        <f t="shared" si="2"/>
        <v>Net</v>
      </c>
      <c r="P25" s="1" t="str">
        <f t="shared" si="5"/>
        <v>am</v>
      </c>
      <c r="Q25" s="1">
        <f t="shared" si="3"/>
        <v>2</v>
      </c>
      <c r="R25" s="1" t="str">
        <f t="shared" si="4"/>
        <v>ffi</v>
      </c>
    </row>
    <row r="26">
      <c r="A26" s="14" t="s">
        <v>93</v>
      </c>
      <c r="B26" s="15">
        <v>45330.0</v>
      </c>
      <c r="C26" s="16" t="s">
        <v>0</v>
      </c>
      <c r="D26" s="16" t="s">
        <v>19</v>
      </c>
      <c r="E26" s="14" t="s">
        <v>14</v>
      </c>
      <c r="F26" s="16" t="str">
        <f>VLOOKUP(E26,'S2'!$A$2:$B$26,2,false)</f>
        <v>Cloud &amp; IT Infrastructure</v>
      </c>
      <c r="G26" s="19">
        <v>5950.0</v>
      </c>
      <c r="H26" s="23" t="str">
        <f t="shared" si="1"/>
        <v>Expensive</v>
      </c>
      <c r="I26" s="1"/>
      <c r="J26" s="1"/>
      <c r="K26" s="1"/>
      <c r="L26" s="1"/>
      <c r="M26" s="1"/>
      <c r="N26" s="1"/>
      <c r="O26" s="1" t="str">
        <f t="shared" si="2"/>
        <v>Uni</v>
      </c>
      <c r="P26" s="1" t="str">
        <f t="shared" si="5"/>
        <v>on</v>
      </c>
      <c r="Q26" s="1">
        <f t="shared" si="3"/>
        <v>5</v>
      </c>
      <c r="R26" s="1" t="str">
        <f t="shared" si="4"/>
        <v>lou</v>
      </c>
    </row>
  </sheetData>
  <conditionalFormatting sqref="C1:C1000">
    <cfRule type="cellIs" dxfId="4" priority="1" operator="equal">
      <formula>"Japan"</formula>
    </cfRule>
  </conditionalFormatting>
  <conditionalFormatting sqref="B1:B1000">
    <cfRule type="expression" dxfId="4" priority="2">
      <formula>B2&gt;Date(2024,2,6)</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c r="H1" s="2" t="s">
        <v>8</v>
      </c>
      <c r="I1" s="2" t="s">
        <v>9</v>
      </c>
      <c r="K1" s="2" t="s">
        <v>10</v>
      </c>
    </row>
    <row r="2" hidden="1">
      <c r="A2" s="2" t="s">
        <v>11</v>
      </c>
      <c r="B2" s="3">
        <v>45306.0</v>
      </c>
      <c r="C2" s="2" t="s">
        <v>12</v>
      </c>
      <c r="D2" s="2" t="s">
        <v>13</v>
      </c>
      <c r="E2" s="2" t="s">
        <v>14</v>
      </c>
      <c r="F2" s="2" t="s">
        <v>15</v>
      </c>
      <c r="G2" s="5">
        <v>4250.0</v>
      </c>
      <c r="I2" s="4">
        <f t="shared" ref="I2:J2" si="1">MONTH(B2)</f>
        <v>1</v>
      </c>
      <c r="J2" s="4" t="str">
        <f t="shared" si="1"/>
        <v>#VALUE!</v>
      </c>
    </row>
    <row r="3" hidden="1">
      <c r="A3" s="2" t="s">
        <v>18</v>
      </c>
      <c r="B3" s="3">
        <v>45307.0</v>
      </c>
      <c r="C3" s="2" t="s">
        <v>0</v>
      </c>
      <c r="D3" s="2" t="s">
        <v>19</v>
      </c>
      <c r="E3" s="2" t="s">
        <v>20</v>
      </c>
      <c r="F3" s="2" t="s">
        <v>21</v>
      </c>
      <c r="G3" s="5">
        <v>3100.5</v>
      </c>
      <c r="I3" s="4">
        <f t="shared" ref="I3:I26" si="2">MONTH(B3)</f>
        <v>1</v>
      </c>
    </row>
    <row r="4">
      <c r="A4" s="2" t="s">
        <v>22</v>
      </c>
      <c r="B4" s="3">
        <v>45308.0</v>
      </c>
      <c r="C4" s="2" t="s">
        <v>23</v>
      </c>
      <c r="D4" s="2" t="s">
        <v>24</v>
      </c>
      <c r="E4" s="2" t="s">
        <v>25</v>
      </c>
      <c r="F4" s="2" t="s">
        <v>26</v>
      </c>
      <c r="G4" s="5">
        <v>1240.75</v>
      </c>
      <c r="I4" s="4">
        <f t="shared" si="2"/>
        <v>1</v>
      </c>
    </row>
    <row r="5" hidden="1">
      <c r="A5" s="2" t="s">
        <v>27</v>
      </c>
      <c r="B5" s="3">
        <v>45309.0</v>
      </c>
      <c r="C5" s="2" t="s">
        <v>28</v>
      </c>
      <c r="D5" s="2" t="s">
        <v>29</v>
      </c>
      <c r="E5" s="2" t="s">
        <v>30</v>
      </c>
      <c r="F5" s="2" t="s">
        <v>31</v>
      </c>
      <c r="G5" s="5">
        <v>850.0</v>
      </c>
      <c r="I5" s="4">
        <f t="shared" si="2"/>
        <v>1</v>
      </c>
    </row>
    <row r="6" hidden="1">
      <c r="A6" s="2" t="s">
        <v>32</v>
      </c>
      <c r="B6" s="3">
        <v>45310.0</v>
      </c>
      <c r="C6" s="2" t="s">
        <v>12</v>
      </c>
      <c r="D6" s="2" t="s">
        <v>33</v>
      </c>
      <c r="E6" s="2" t="s">
        <v>34</v>
      </c>
      <c r="F6" s="2" t="s">
        <v>36</v>
      </c>
      <c r="G6" s="5">
        <v>6400.0</v>
      </c>
      <c r="I6" s="4">
        <f t="shared" si="2"/>
        <v>1</v>
      </c>
    </row>
    <row r="7" hidden="1">
      <c r="A7" s="2" t="s">
        <v>37</v>
      </c>
      <c r="B7" s="3">
        <v>45311.0</v>
      </c>
      <c r="C7" s="2" t="s">
        <v>38</v>
      </c>
      <c r="D7" s="2" t="s">
        <v>39</v>
      </c>
      <c r="E7" s="2" t="s">
        <v>40</v>
      </c>
      <c r="F7" s="2" t="s">
        <v>41</v>
      </c>
      <c r="G7" s="5">
        <v>420.3</v>
      </c>
      <c r="I7" s="4">
        <f t="shared" si="2"/>
        <v>1</v>
      </c>
    </row>
    <row r="8">
      <c r="A8" s="2" t="s">
        <v>42</v>
      </c>
      <c r="B8" s="3">
        <v>45312.0</v>
      </c>
      <c r="C8" s="2" t="s">
        <v>43</v>
      </c>
      <c r="D8" s="2" t="s">
        <v>44</v>
      </c>
      <c r="E8" s="2" t="s">
        <v>25</v>
      </c>
      <c r="F8" s="2" t="s">
        <v>26</v>
      </c>
      <c r="G8" s="5">
        <v>1850.0</v>
      </c>
      <c r="I8" s="4">
        <f t="shared" si="2"/>
        <v>1</v>
      </c>
      <c r="J8" s="2" t="s">
        <v>45</v>
      </c>
      <c r="K8" s="4" t="str">
        <f>CONCATENATE(D8,"-",F8)</f>
        <v>Paris-Travel &amp; Entertainment</v>
      </c>
    </row>
    <row r="9" hidden="1">
      <c r="A9" s="2" t="s">
        <v>51</v>
      </c>
      <c r="B9" s="3">
        <v>45313.0</v>
      </c>
      <c r="C9" s="2" t="s">
        <v>53</v>
      </c>
      <c r="D9" s="2" t="s">
        <v>53</v>
      </c>
      <c r="E9" s="2" t="s">
        <v>14</v>
      </c>
      <c r="F9" s="2" t="s">
        <v>15</v>
      </c>
      <c r="G9" s="5">
        <v>5120.0</v>
      </c>
      <c r="I9" s="4">
        <f t="shared" si="2"/>
        <v>1</v>
      </c>
    </row>
    <row r="10" hidden="1">
      <c r="A10" s="2" t="s">
        <v>56</v>
      </c>
      <c r="B10" s="3">
        <v>45314.0</v>
      </c>
      <c r="C10" s="2" t="s">
        <v>57</v>
      </c>
      <c r="D10" s="2" t="s">
        <v>58</v>
      </c>
      <c r="E10" s="2" t="s">
        <v>20</v>
      </c>
      <c r="F10" s="2" t="s">
        <v>21</v>
      </c>
      <c r="G10" s="5">
        <v>2750.0</v>
      </c>
      <c r="I10" s="4">
        <f t="shared" si="2"/>
        <v>1</v>
      </c>
    </row>
    <row r="11" hidden="1">
      <c r="A11" s="2" t="s">
        <v>62</v>
      </c>
      <c r="B11" s="3">
        <v>45315.0</v>
      </c>
      <c r="C11" s="2" t="s">
        <v>12</v>
      </c>
      <c r="D11" s="2" t="s">
        <v>64</v>
      </c>
      <c r="E11" s="2" t="s">
        <v>30</v>
      </c>
      <c r="F11" s="2" t="s">
        <v>31</v>
      </c>
      <c r="G11" s="5">
        <v>1450.0</v>
      </c>
      <c r="I11" s="4">
        <f t="shared" si="2"/>
        <v>1</v>
      </c>
    </row>
    <row r="12">
      <c r="A12" s="2" t="s">
        <v>65</v>
      </c>
      <c r="B12" s="3">
        <v>45316.0</v>
      </c>
      <c r="C12" s="2" t="s">
        <v>23</v>
      </c>
      <c r="D12" s="2" t="s">
        <v>66</v>
      </c>
      <c r="E12" s="2" t="s">
        <v>34</v>
      </c>
      <c r="F12" s="2" t="s">
        <v>36</v>
      </c>
      <c r="G12" s="5">
        <v>7200.0</v>
      </c>
      <c r="I12" s="4">
        <f t="shared" si="2"/>
        <v>1</v>
      </c>
      <c r="J12" s="2" t="s">
        <v>67</v>
      </c>
      <c r="K12" s="4" t="str">
        <f>D8&amp;"-"&amp;F8</f>
        <v>Paris-Travel &amp; Entertainment</v>
      </c>
    </row>
    <row r="13" hidden="1">
      <c r="A13" s="2" t="s">
        <v>68</v>
      </c>
      <c r="B13" s="3">
        <v>45317.0</v>
      </c>
      <c r="C13" s="2" t="s">
        <v>0</v>
      </c>
      <c r="D13" s="2" t="s">
        <v>70</v>
      </c>
      <c r="E13" s="2" t="s">
        <v>40</v>
      </c>
      <c r="F13" s="2" t="s">
        <v>41</v>
      </c>
      <c r="G13" s="5">
        <v>630.5</v>
      </c>
      <c r="I13" s="4">
        <f t="shared" si="2"/>
        <v>1</v>
      </c>
    </row>
    <row r="14">
      <c r="A14" s="2" t="s">
        <v>72</v>
      </c>
      <c r="B14" s="3">
        <v>45318.0</v>
      </c>
      <c r="C14" s="2" t="s">
        <v>73</v>
      </c>
      <c r="D14" s="2" t="s">
        <v>74</v>
      </c>
      <c r="E14" s="2" t="s">
        <v>20</v>
      </c>
      <c r="F14" s="2" t="s">
        <v>21</v>
      </c>
      <c r="G14" s="5">
        <v>4100.0</v>
      </c>
      <c r="I14" s="4">
        <f t="shared" si="2"/>
        <v>1</v>
      </c>
    </row>
    <row r="15" hidden="1">
      <c r="A15" s="2" t="s">
        <v>75</v>
      </c>
      <c r="B15" s="3">
        <v>45319.0</v>
      </c>
      <c r="C15" s="2" t="s">
        <v>28</v>
      </c>
      <c r="D15" s="2" t="s">
        <v>76</v>
      </c>
      <c r="E15" s="2" t="s">
        <v>25</v>
      </c>
      <c r="F15" s="2" t="s">
        <v>26</v>
      </c>
      <c r="G15" s="5">
        <v>2100.25</v>
      </c>
      <c r="I15" s="4">
        <f t="shared" si="2"/>
        <v>1</v>
      </c>
    </row>
    <row r="16" hidden="1">
      <c r="A16" s="2" t="s">
        <v>77</v>
      </c>
      <c r="B16" s="3">
        <v>45320.0</v>
      </c>
      <c r="C16" s="2" t="s">
        <v>12</v>
      </c>
      <c r="D16" s="2" t="s">
        <v>78</v>
      </c>
      <c r="E16" s="2" t="s">
        <v>14</v>
      </c>
      <c r="F16" s="2" t="s">
        <v>15</v>
      </c>
      <c r="G16" s="5">
        <v>3890.0</v>
      </c>
      <c r="I16" s="4">
        <f t="shared" si="2"/>
        <v>1</v>
      </c>
    </row>
    <row r="17" hidden="1">
      <c r="A17" s="2" t="s">
        <v>79</v>
      </c>
      <c r="B17" s="3">
        <v>45321.0</v>
      </c>
      <c r="C17" s="2" t="s">
        <v>38</v>
      </c>
      <c r="D17" s="2" t="s">
        <v>80</v>
      </c>
      <c r="E17" s="2" t="s">
        <v>30</v>
      </c>
      <c r="F17" s="2" t="s">
        <v>31</v>
      </c>
      <c r="G17" s="5">
        <v>980.0</v>
      </c>
      <c r="I17" s="4">
        <f t="shared" si="2"/>
        <v>1</v>
      </c>
    </row>
    <row r="18" hidden="1">
      <c r="A18" s="2" t="s">
        <v>81</v>
      </c>
      <c r="B18" s="3">
        <v>45322.0</v>
      </c>
      <c r="C18" s="2" t="s">
        <v>0</v>
      </c>
      <c r="D18" s="2" t="s">
        <v>19</v>
      </c>
      <c r="E18" s="2" t="s">
        <v>34</v>
      </c>
      <c r="F18" s="2" t="s">
        <v>36</v>
      </c>
      <c r="G18" s="5">
        <v>5500.0</v>
      </c>
      <c r="I18" s="4">
        <f t="shared" si="2"/>
        <v>1</v>
      </c>
    </row>
    <row r="19" hidden="1">
      <c r="A19" s="2" t="s">
        <v>82</v>
      </c>
      <c r="B19" s="3">
        <v>45323.0</v>
      </c>
      <c r="C19" s="2" t="s">
        <v>57</v>
      </c>
      <c r="D19" s="2" t="s">
        <v>83</v>
      </c>
      <c r="E19" s="2" t="s">
        <v>40</v>
      </c>
      <c r="F19" s="2" t="s">
        <v>41</v>
      </c>
      <c r="G19" s="5">
        <v>315.8</v>
      </c>
      <c r="I19" s="4">
        <f t="shared" si="2"/>
        <v>2</v>
      </c>
    </row>
    <row r="20" hidden="1">
      <c r="A20" s="2" t="s">
        <v>84</v>
      </c>
      <c r="B20" s="3">
        <v>45324.0</v>
      </c>
      <c r="C20" s="2" t="s">
        <v>12</v>
      </c>
      <c r="D20" s="2" t="s">
        <v>13</v>
      </c>
      <c r="E20" s="2" t="s">
        <v>20</v>
      </c>
      <c r="F20" s="2" t="s">
        <v>21</v>
      </c>
      <c r="G20" s="5">
        <v>6800.0</v>
      </c>
      <c r="I20" s="4">
        <f t="shared" si="2"/>
        <v>2</v>
      </c>
    </row>
    <row r="21">
      <c r="A21" s="2" t="s">
        <v>85</v>
      </c>
      <c r="B21" s="3">
        <v>45325.0</v>
      </c>
      <c r="C21" s="2" t="s">
        <v>23</v>
      </c>
      <c r="D21" s="2" t="s">
        <v>24</v>
      </c>
      <c r="E21" s="2" t="s">
        <v>14</v>
      </c>
      <c r="F21" s="2" t="s">
        <v>15</v>
      </c>
      <c r="G21" s="5">
        <v>4750.0</v>
      </c>
      <c r="I21" s="4">
        <f t="shared" si="2"/>
        <v>2</v>
      </c>
    </row>
    <row r="22">
      <c r="A22" s="2" t="s">
        <v>87</v>
      </c>
      <c r="B22" s="3">
        <v>45326.0</v>
      </c>
      <c r="C22" s="2" t="s">
        <v>43</v>
      </c>
      <c r="D22" s="2" t="s">
        <v>44</v>
      </c>
      <c r="E22" s="2" t="s">
        <v>34</v>
      </c>
      <c r="F22" s="2" t="s">
        <v>36</v>
      </c>
      <c r="G22" s="5">
        <v>3900.0</v>
      </c>
      <c r="I22" s="4">
        <f t="shared" si="2"/>
        <v>2</v>
      </c>
    </row>
    <row r="23" hidden="1">
      <c r="A23" s="2" t="s">
        <v>88</v>
      </c>
      <c r="B23" s="3">
        <v>45327.0</v>
      </c>
      <c r="C23" s="2" t="s">
        <v>53</v>
      </c>
      <c r="D23" s="2" t="s">
        <v>53</v>
      </c>
      <c r="E23" s="2" t="s">
        <v>25</v>
      </c>
      <c r="F23" s="2" t="s">
        <v>26</v>
      </c>
      <c r="G23" s="5">
        <v>1680.4</v>
      </c>
      <c r="I23" s="4">
        <f t="shared" si="2"/>
        <v>2</v>
      </c>
    </row>
    <row r="24" hidden="1">
      <c r="A24" s="2" t="s">
        <v>90</v>
      </c>
      <c r="B24" s="3">
        <v>45328.0</v>
      </c>
      <c r="C24" s="2" t="s">
        <v>12</v>
      </c>
      <c r="D24" s="2" t="s">
        <v>33</v>
      </c>
      <c r="E24" s="2" t="s">
        <v>30</v>
      </c>
      <c r="F24" s="2" t="s">
        <v>31</v>
      </c>
      <c r="G24" s="5">
        <v>2300.0</v>
      </c>
      <c r="I24" s="4">
        <f t="shared" si="2"/>
        <v>2</v>
      </c>
    </row>
    <row r="25">
      <c r="A25" s="2" t="s">
        <v>92</v>
      </c>
      <c r="B25" s="3">
        <v>45329.0</v>
      </c>
      <c r="C25" s="2" t="s">
        <v>73</v>
      </c>
      <c r="D25" s="2" t="s">
        <v>74</v>
      </c>
      <c r="E25" s="2" t="s">
        <v>40</v>
      </c>
      <c r="F25" s="2" t="s">
        <v>41</v>
      </c>
      <c r="G25" s="5">
        <v>540.0</v>
      </c>
      <c r="I25" s="4">
        <f t="shared" si="2"/>
        <v>2</v>
      </c>
    </row>
    <row r="26" hidden="1">
      <c r="A26" s="2" t="s">
        <v>93</v>
      </c>
      <c r="B26" s="3">
        <v>45330.0</v>
      </c>
      <c r="C26" s="2" t="s">
        <v>0</v>
      </c>
      <c r="D26" s="2" t="s">
        <v>19</v>
      </c>
      <c r="E26" s="2" t="s">
        <v>14</v>
      </c>
      <c r="F26" s="2" t="s">
        <v>15</v>
      </c>
      <c r="G26" s="5">
        <v>5950.0</v>
      </c>
      <c r="I26" s="4">
        <f t="shared" si="2"/>
        <v>2</v>
      </c>
    </row>
    <row r="31">
      <c r="A31" s="2" t="s">
        <v>1</v>
      </c>
      <c r="B31" s="2" t="s">
        <v>2</v>
      </c>
      <c r="C31" s="2" t="s">
        <v>3</v>
      </c>
      <c r="D31" s="2" t="s">
        <v>4</v>
      </c>
      <c r="E31" s="2" t="s">
        <v>5</v>
      </c>
      <c r="F31" s="2" t="s">
        <v>6</v>
      </c>
      <c r="G31" s="2" t="s">
        <v>7</v>
      </c>
      <c r="I31" s="4">
        <f>IFERROR(__xludf.DUMMYFUNCTION("COUNTUNIQUE(B32:B38)"),7.0)</f>
        <v>7</v>
      </c>
    </row>
    <row r="32">
      <c r="A32" s="2" t="s">
        <v>22</v>
      </c>
      <c r="B32" s="3">
        <v>45308.0</v>
      </c>
      <c r="C32" s="2" t="s">
        <v>23</v>
      </c>
      <c r="D32" s="2" t="s">
        <v>24</v>
      </c>
      <c r="E32" s="2" t="s">
        <v>25</v>
      </c>
      <c r="F32" s="2" t="s">
        <v>26</v>
      </c>
      <c r="G32" s="5">
        <v>1240.75</v>
      </c>
    </row>
    <row r="33">
      <c r="A33" s="2" t="s">
        <v>42</v>
      </c>
      <c r="B33" s="3">
        <v>45312.0</v>
      </c>
      <c r="C33" s="2" t="s">
        <v>43</v>
      </c>
      <c r="D33" s="2" t="s">
        <v>44</v>
      </c>
      <c r="E33" s="2" t="s">
        <v>25</v>
      </c>
      <c r="F33" s="2" t="s">
        <v>26</v>
      </c>
      <c r="G33" s="5">
        <v>1850.0</v>
      </c>
    </row>
    <row r="34">
      <c r="A34" s="2" t="s">
        <v>65</v>
      </c>
      <c r="B34" s="3">
        <v>45316.0</v>
      </c>
      <c r="C34" s="2" t="s">
        <v>23</v>
      </c>
      <c r="D34" s="2" t="s">
        <v>66</v>
      </c>
      <c r="E34" s="2" t="s">
        <v>34</v>
      </c>
      <c r="F34" s="2" t="s">
        <v>36</v>
      </c>
      <c r="G34" s="5">
        <v>7200.0</v>
      </c>
    </row>
    <row r="35">
      <c r="A35" s="2" t="s">
        <v>72</v>
      </c>
      <c r="B35" s="3">
        <v>45318.0</v>
      </c>
      <c r="C35" s="2" t="s">
        <v>73</v>
      </c>
      <c r="D35" s="2" t="s">
        <v>74</v>
      </c>
      <c r="E35" s="2" t="s">
        <v>20</v>
      </c>
      <c r="F35" s="2" t="s">
        <v>21</v>
      </c>
      <c r="G35" s="5">
        <v>4100.0</v>
      </c>
    </row>
    <row r="36">
      <c r="A36" s="2" t="s">
        <v>85</v>
      </c>
      <c r="B36" s="3">
        <v>45325.0</v>
      </c>
      <c r="C36" s="2" t="s">
        <v>23</v>
      </c>
      <c r="D36" s="2" t="s">
        <v>24</v>
      </c>
      <c r="E36" s="2" t="s">
        <v>14</v>
      </c>
      <c r="F36" s="2" t="s">
        <v>15</v>
      </c>
      <c r="G36" s="5">
        <v>4750.0</v>
      </c>
    </row>
    <row r="37">
      <c r="A37" s="2" t="s">
        <v>87</v>
      </c>
      <c r="B37" s="3">
        <v>45326.0</v>
      </c>
      <c r="C37" s="2" t="s">
        <v>43</v>
      </c>
      <c r="D37" s="2" t="s">
        <v>44</v>
      </c>
      <c r="E37" s="2" t="s">
        <v>34</v>
      </c>
      <c r="F37" s="2" t="s">
        <v>36</v>
      </c>
      <c r="G37" s="5">
        <v>3900.0</v>
      </c>
    </row>
    <row r="38">
      <c r="A38" s="2" t="s">
        <v>92</v>
      </c>
      <c r="B38" s="3">
        <v>45329.0</v>
      </c>
      <c r="C38" s="2" t="s">
        <v>73</v>
      </c>
      <c r="D38" s="2" t="s">
        <v>74</v>
      </c>
      <c r="E38" s="2" t="s">
        <v>40</v>
      </c>
      <c r="F38" s="2" t="s">
        <v>41</v>
      </c>
      <c r="G38" s="5">
        <v>540.0</v>
      </c>
    </row>
  </sheetData>
  <autoFilter ref="$A$1:$G$26">
    <filterColumn colId="2">
      <filters>
        <filter val="Netherlands"/>
        <filter val="France"/>
        <filter val="Germany"/>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4" t="str">
        <f>IFERROR(__xludf.DUMMYFUNCTION("GOOGLETRANSLATE(A1,""en"",""es"")"),"Reino Unido")</f>
        <v>Reino Unido</v>
      </c>
    </row>
    <row r="4">
      <c r="A4" s="6" t="s">
        <v>16</v>
      </c>
    </row>
    <row r="5">
      <c r="A5" s="7" t="s">
        <v>17</v>
      </c>
    </row>
    <row r="6">
      <c r="A6" s="7" t="s">
        <v>35</v>
      </c>
    </row>
    <row r="7">
      <c r="A7" s="6" t="s">
        <v>46</v>
      </c>
    </row>
    <row r="8">
      <c r="A8" s="6" t="s">
        <v>47</v>
      </c>
    </row>
    <row r="9">
      <c r="A9" s="10"/>
    </row>
    <row r="10">
      <c r="A10" s="17" t="s">
        <v>49</v>
      </c>
    </row>
    <row r="11">
      <c r="A11" s="18" t="s">
        <v>69</v>
      </c>
    </row>
    <row r="12">
      <c r="A12" s="17" t="s">
        <v>71</v>
      </c>
      <c r="H12" s="4" t="str">
        <f>IFERROR(__xludf.DUMMYFUNCTION("GOOGLETRANSLATE(A6,""en"",""ur"")"),"فنڈنگ ​​کے حوالے سے، اگر آپ خود اپنی فنڈنگ ​​فراہم کر سکتے ہیں، تو براہ کرم مجھے اس ای میل کا جواب دے کر بتائیں۔ اگر نہیں، تو یہ مسابقتی طور پر فنڈ والی پوزیشن بن جاتی ہے۔ ممکنہ فنڈنگ ​​کے ذرائع کے متعدد لنکس دستیاب ہیں ( http://www.paul-harvey.org/opport"&amp;"unities/phds/)۔ براہ کرم اس بات پر بھی غور کریں کہ آپ کی صورت حال کے ساتھ ساتھ متعلقہ ڈیڈ لائن کے لیے کون سا سب سے زیادہ متعلقہ ہوگا۔")</f>
        <v>فنڈنگ ​​کے حوالے سے، اگر آپ خود اپنی فنڈنگ ​​فراہم کر سکتے ہیں، تو براہ کرم مجھے اس ای میل کا جواب دے کر بتائیں۔ اگر نہیں، تو یہ مسابقتی طور پر فنڈ والی پوزیشن بن جاتی ہے۔ ممکنہ فنڈنگ ​​کے ذرائع کے متعدد لنکس دستیاب ہیں ( http://www.paul-harvey.org/opportunities/phds/)۔ براہ کرم اس بات پر بھی غور کریں کہ آپ کی صورت حال کے ساتھ ساتھ متعلقہ ڈیڈ لائن کے لیے کون سا سب سے زیادہ متعلقہ ہوگا۔</v>
      </c>
    </row>
    <row r="13">
      <c r="A13" s="18" t="s">
        <v>86</v>
      </c>
    </row>
    <row r="14">
      <c r="A14" s="20"/>
      <c r="B14" s="21" t="s">
        <v>89</v>
      </c>
      <c r="C14" s="22"/>
    </row>
    <row r="15">
      <c r="A15" s="24" t="s">
        <v>91</v>
      </c>
    </row>
    <row r="16">
      <c r="A16" s="25"/>
    </row>
    <row r="17">
      <c r="A17" s="26" t="s">
        <v>94</v>
      </c>
    </row>
    <row r="18">
      <c r="A18" s="27" t="s">
        <v>95</v>
      </c>
    </row>
    <row r="19">
      <c r="A19" s="28"/>
    </row>
    <row r="20">
      <c r="A20" s="27" t="s">
        <v>97</v>
      </c>
    </row>
    <row r="21">
      <c r="A21" s="28"/>
    </row>
    <row r="22">
      <c r="A22" s="27" t="s">
        <v>98</v>
      </c>
    </row>
    <row r="23">
      <c r="A23" s="28"/>
    </row>
    <row r="24">
      <c r="A24" s="27" t="s">
        <v>99</v>
      </c>
    </row>
    <row r="25">
      <c r="A25" s="28"/>
    </row>
    <row r="26">
      <c r="A26" s="27" t="s">
        <v>100</v>
      </c>
    </row>
    <row r="27">
      <c r="A27" s="28"/>
    </row>
    <row r="28">
      <c r="A28" s="27" t="s">
        <v>101</v>
      </c>
    </row>
    <row r="29">
      <c r="A29" s="30"/>
    </row>
  </sheetData>
  <hyperlinks>
    <hyperlink r:id="rId1" ref="A5"/>
    <hyperlink r:id="rId2" ref="A6"/>
    <hyperlink r:id="rId3" ref="A10"/>
    <hyperlink r:id="rId4" ref="A12"/>
    <hyperlink r:id="rId5" ref="B14"/>
    <hyperlink r:id="rId6" ref="A1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4</v>
      </c>
      <c r="B1" s="11" t="s">
        <v>7</v>
      </c>
    </row>
    <row r="2">
      <c r="A2" s="16" t="s">
        <v>13</v>
      </c>
      <c r="B2" s="19">
        <v>4250.0</v>
      </c>
    </row>
    <row r="3">
      <c r="A3" s="16" t="s">
        <v>19</v>
      </c>
      <c r="B3" s="19">
        <v>3100.5</v>
      </c>
    </row>
    <row r="4">
      <c r="A4" s="16" t="s">
        <v>24</v>
      </c>
      <c r="B4" s="19">
        <v>1240.75</v>
      </c>
    </row>
    <row r="5">
      <c r="A5" s="16" t="s">
        <v>29</v>
      </c>
      <c r="B5" s="19">
        <v>850.0</v>
      </c>
    </row>
    <row r="6">
      <c r="A6" s="16" t="s">
        <v>33</v>
      </c>
      <c r="B6" s="19">
        <v>6400.0</v>
      </c>
    </row>
    <row r="7">
      <c r="A7" s="16" t="s">
        <v>39</v>
      </c>
      <c r="B7" s="19">
        <v>420.3</v>
      </c>
    </row>
    <row r="8">
      <c r="A8" s="16" t="s">
        <v>44</v>
      </c>
      <c r="B8" s="19">
        <v>1850.0</v>
      </c>
    </row>
    <row r="9">
      <c r="A9" s="16" t="s">
        <v>53</v>
      </c>
      <c r="B9" s="19">
        <v>5120.0</v>
      </c>
    </row>
    <row r="10">
      <c r="A10" s="16" t="s">
        <v>58</v>
      </c>
      <c r="B10" s="19">
        <v>2750.0</v>
      </c>
    </row>
    <row r="11">
      <c r="A11" s="16" t="s">
        <v>64</v>
      </c>
      <c r="B11" s="19">
        <v>1450.0</v>
      </c>
    </row>
    <row r="12">
      <c r="A12" s="16" t="s">
        <v>66</v>
      </c>
      <c r="B12" s="19">
        <v>7200.0</v>
      </c>
    </row>
    <row r="13">
      <c r="A13" s="16" t="s">
        <v>70</v>
      </c>
      <c r="B13" s="19">
        <v>630.5</v>
      </c>
    </row>
    <row r="14">
      <c r="A14" s="16" t="s">
        <v>74</v>
      </c>
      <c r="B14" s="19">
        <v>4100.0</v>
      </c>
    </row>
    <row r="15">
      <c r="A15" s="16" t="s">
        <v>76</v>
      </c>
      <c r="B15" s="19">
        <v>2100.25</v>
      </c>
    </row>
    <row r="16">
      <c r="A16" s="16" t="s">
        <v>78</v>
      </c>
      <c r="B16" s="19">
        <v>3890.0</v>
      </c>
    </row>
    <row r="17">
      <c r="A17" s="16" t="s">
        <v>80</v>
      </c>
      <c r="B17" s="19">
        <v>980.0</v>
      </c>
    </row>
    <row r="18">
      <c r="A18" s="16" t="s">
        <v>19</v>
      </c>
      <c r="B18" s="19">
        <v>5500.0</v>
      </c>
    </row>
    <row r="19">
      <c r="A19" s="16" t="s">
        <v>83</v>
      </c>
      <c r="B19" s="19">
        <v>315.8</v>
      </c>
    </row>
    <row r="20">
      <c r="A20" s="16" t="s">
        <v>13</v>
      </c>
      <c r="B20" s="19">
        <v>6800.0</v>
      </c>
    </row>
    <row r="21">
      <c r="A21" s="16" t="s">
        <v>24</v>
      </c>
      <c r="B21" s="19">
        <v>4750.0</v>
      </c>
    </row>
    <row r="22">
      <c r="A22" s="16" t="s">
        <v>44</v>
      </c>
      <c r="B22" s="19">
        <v>3900.0</v>
      </c>
    </row>
    <row r="23">
      <c r="A23" s="16" t="s">
        <v>53</v>
      </c>
      <c r="B23" s="19">
        <v>1680.4</v>
      </c>
    </row>
    <row r="24">
      <c r="A24" s="16" t="s">
        <v>33</v>
      </c>
      <c r="B24" s="19">
        <v>2300.0</v>
      </c>
    </row>
    <row r="25">
      <c r="A25" s="16" t="s">
        <v>74</v>
      </c>
      <c r="B25" s="19">
        <v>540.0</v>
      </c>
    </row>
    <row r="26">
      <c r="A26" s="16" t="s">
        <v>19</v>
      </c>
      <c r="B26" s="19">
        <v>5950.0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row>
    <row r="2">
      <c r="A2" s="2" t="s">
        <v>11</v>
      </c>
      <c r="B2" s="3">
        <v>45306.0</v>
      </c>
      <c r="C2" s="2" t="s">
        <v>12</v>
      </c>
      <c r="D2" s="2" t="s">
        <v>13</v>
      </c>
      <c r="E2" s="2" t="s">
        <v>14</v>
      </c>
      <c r="F2" s="2" t="s">
        <v>15</v>
      </c>
      <c r="G2" s="5">
        <v>4250.0</v>
      </c>
    </row>
    <row r="3">
      <c r="A3" s="2" t="s">
        <v>18</v>
      </c>
      <c r="B3" s="3">
        <v>45307.0</v>
      </c>
      <c r="C3" s="2" t="s">
        <v>0</v>
      </c>
      <c r="D3" s="2" t="s">
        <v>19</v>
      </c>
      <c r="E3" s="2" t="s">
        <v>20</v>
      </c>
      <c r="F3" s="2" t="s">
        <v>21</v>
      </c>
      <c r="G3" s="5">
        <v>3100.5</v>
      </c>
      <c r="I3" s="4" t="str">
        <f>IFERROR(__xludf.DUMMYFUNCTION("FILTER(A2:G26,C2:C26=""Germany"")"),"TXN-1003")</f>
        <v>TXN-1003</v>
      </c>
      <c r="J3" s="32">
        <f>IFERROR(__xludf.DUMMYFUNCTION("""COMPUTED_VALUE"""),45308.0)</f>
        <v>45308</v>
      </c>
      <c r="K3" s="4" t="str">
        <f>IFERROR(__xludf.DUMMYFUNCTION("""COMPUTED_VALUE"""),"Germany")</f>
        <v>Germany</v>
      </c>
      <c r="L3" s="4" t="str">
        <f>IFERROR(__xludf.DUMMYFUNCTION("""COMPUTED_VALUE"""),"Berlin")</f>
        <v>Berlin</v>
      </c>
      <c r="M3" s="4" t="str">
        <f>IFERROR(__xludf.DUMMYFUNCTION("""COMPUTED_VALUE"""),"CAT-103")</f>
        <v>CAT-103</v>
      </c>
      <c r="N3" s="4" t="str">
        <f>IFERROR(__xludf.DUMMYFUNCTION("""COMPUTED_VALUE"""),"Travel &amp; Entertainment")</f>
        <v>Travel &amp; Entertainment</v>
      </c>
      <c r="O3" s="33">
        <f>IFERROR(__xludf.DUMMYFUNCTION("""COMPUTED_VALUE"""),1240.75)</f>
        <v>1240.75</v>
      </c>
    </row>
    <row r="4">
      <c r="A4" s="2" t="s">
        <v>22</v>
      </c>
      <c r="B4" s="3">
        <v>45308.0</v>
      </c>
      <c r="C4" s="2" t="s">
        <v>23</v>
      </c>
      <c r="D4" s="2" t="s">
        <v>24</v>
      </c>
      <c r="E4" s="2" t="s">
        <v>25</v>
      </c>
      <c r="F4" s="2" t="s">
        <v>26</v>
      </c>
      <c r="G4" s="5">
        <v>1240.75</v>
      </c>
      <c r="I4" s="4" t="str">
        <f>IFERROR(__xludf.DUMMYFUNCTION("""COMPUTED_VALUE"""),"TXN-1011")</f>
        <v>TXN-1011</v>
      </c>
      <c r="J4" s="32">
        <f>IFERROR(__xludf.DUMMYFUNCTION("""COMPUTED_VALUE"""),45316.0)</f>
        <v>45316</v>
      </c>
      <c r="K4" s="4" t="str">
        <f>IFERROR(__xludf.DUMMYFUNCTION("""COMPUTED_VALUE"""),"Germany")</f>
        <v>Germany</v>
      </c>
      <c r="L4" s="4" t="str">
        <f>IFERROR(__xludf.DUMMYFUNCTION("""COMPUTED_VALUE"""),"Munich")</f>
        <v>Munich</v>
      </c>
      <c r="M4" s="4" t="str">
        <f>IFERROR(__xludf.DUMMYFUNCTION("""COMPUTED_VALUE"""),"CAT-105")</f>
        <v>CAT-105</v>
      </c>
      <c r="N4" s="4" t="str">
        <f>IFERROR(__xludf.DUMMYFUNCTION("""COMPUTED_VALUE"""),"Professional Services")</f>
        <v>Professional Services</v>
      </c>
      <c r="O4" s="33">
        <f>IFERROR(__xludf.DUMMYFUNCTION("""COMPUTED_VALUE"""),7200.0)</f>
        <v>7200</v>
      </c>
    </row>
    <row r="5">
      <c r="A5" s="2" t="s">
        <v>27</v>
      </c>
      <c r="B5" s="3">
        <v>45309.0</v>
      </c>
      <c r="C5" s="2" t="s">
        <v>28</v>
      </c>
      <c r="D5" s="2" t="s">
        <v>29</v>
      </c>
      <c r="E5" s="2" t="s">
        <v>30</v>
      </c>
      <c r="F5" s="2" t="s">
        <v>31</v>
      </c>
      <c r="G5" s="5">
        <v>850.0</v>
      </c>
      <c r="I5" s="4" t="str">
        <f>IFERROR(__xludf.DUMMYFUNCTION("""COMPUTED_VALUE"""),"TXN-1020")</f>
        <v>TXN-1020</v>
      </c>
      <c r="J5" s="32">
        <f>IFERROR(__xludf.DUMMYFUNCTION("""COMPUTED_VALUE"""),45325.0)</f>
        <v>45325</v>
      </c>
      <c r="K5" s="4" t="str">
        <f>IFERROR(__xludf.DUMMYFUNCTION("""COMPUTED_VALUE"""),"Germany")</f>
        <v>Germany</v>
      </c>
      <c r="L5" s="4" t="str">
        <f>IFERROR(__xludf.DUMMYFUNCTION("""COMPUTED_VALUE"""),"Berlin")</f>
        <v>Berlin</v>
      </c>
      <c r="M5" s="4" t="str">
        <f>IFERROR(__xludf.DUMMYFUNCTION("""COMPUTED_VALUE"""),"CAT-101")</f>
        <v>CAT-101</v>
      </c>
      <c r="N5" s="4" t="str">
        <f>IFERROR(__xludf.DUMMYFUNCTION("""COMPUTED_VALUE"""),"Cloud &amp; IT Infrastructure")</f>
        <v>Cloud &amp; IT Infrastructure</v>
      </c>
      <c r="O5" s="33">
        <f>IFERROR(__xludf.DUMMYFUNCTION("""COMPUTED_VALUE"""),4750.0)</f>
        <v>4750</v>
      </c>
    </row>
    <row r="6">
      <c r="A6" s="2" t="s">
        <v>32</v>
      </c>
      <c r="B6" s="3">
        <v>45310.0</v>
      </c>
      <c r="C6" s="2" t="s">
        <v>12</v>
      </c>
      <c r="D6" s="2" t="s">
        <v>33</v>
      </c>
      <c r="E6" s="2" t="s">
        <v>34</v>
      </c>
      <c r="F6" s="2" t="s">
        <v>36</v>
      </c>
      <c r="G6" s="5">
        <v>6400.0</v>
      </c>
    </row>
    <row r="7">
      <c r="A7" s="2" t="s">
        <v>37</v>
      </c>
      <c r="B7" s="3">
        <v>45311.0</v>
      </c>
      <c r="C7" s="2" t="s">
        <v>38</v>
      </c>
      <c r="D7" s="2" t="s">
        <v>39</v>
      </c>
      <c r="E7" s="2" t="s">
        <v>40</v>
      </c>
      <c r="F7" s="2" t="s">
        <v>41</v>
      </c>
      <c r="G7" s="5">
        <v>420.3</v>
      </c>
    </row>
    <row r="8">
      <c r="A8" s="2" t="s">
        <v>42</v>
      </c>
      <c r="B8" s="3">
        <v>45312.0</v>
      </c>
      <c r="C8" s="2" t="s">
        <v>43</v>
      </c>
      <c r="D8" s="2" t="s">
        <v>44</v>
      </c>
      <c r="E8" s="2" t="s">
        <v>25</v>
      </c>
      <c r="F8" s="2" t="s">
        <v>26</v>
      </c>
      <c r="G8" s="5">
        <v>1850.0</v>
      </c>
    </row>
    <row r="9">
      <c r="A9" s="2" t="s">
        <v>51</v>
      </c>
      <c r="B9" s="3">
        <v>45313.0</v>
      </c>
      <c r="C9" s="2" t="s">
        <v>53</v>
      </c>
      <c r="D9" s="2" t="s">
        <v>53</v>
      </c>
      <c r="E9" s="2" t="s">
        <v>14</v>
      </c>
      <c r="F9" s="2" t="s">
        <v>15</v>
      </c>
      <c r="G9" s="5">
        <v>5120.0</v>
      </c>
    </row>
    <row r="10">
      <c r="A10" s="2" t="s">
        <v>56</v>
      </c>
      <c r="B10" s="3">
        <v>45314.0</v>
      </c>
      <c r="C10" s="2" t="s">
        <v>57</v>
      </c>
      <c r="D10" s="2" t="s">
        <v>58</v>
      </c>
      <c r="E10" s="2" t="s">
        <v>20</v>
      </c>
      <c r="F10" s="2" t="s">
        <v>21</v>
      </c>
      <c r="G10" s="5">
        <v>2750.0</v>
      </c>
    </row>
    <row r="11">
      <c r="A11" s="2" t="s">
        <v>62</v>
      </c>
      <c r="B11" s="3">
        <v>45315.0</v>
      </c>
      <c r="C11" s="2" t="s">
        <v>12</v>
      </c>
      <c r="D11" s="2" t="s">
        <v>64</v>
      </c>
      <c r="E11" s="2" t="s">
        <v>30</v>
      </c>
      <c r="F11" s="2" t="s">
        <v>31</v>
      </c>
      <c r="G11" s="5">
        <v>1450.0</v>
      </c>
    </row>
    <row r="12">
      <c r="A12" s="2" t="s">
        <v>65</v>
      </c>
      <c r="B12" s="3">
        <v>45316.0</v>
      </c>
      <c r="C12" s="2" t="s">
        <v>23</v>
      </c>
      <c r="D12" s="2" t="s">
        <v>66</v>
      </c>
      <c r="E12" s="2" t="s">
        <v>34</v>
      </c>
      <c r="F12" s="2" t="s">
        <v>36</v>
      </c>
      <c r="G12" s="5">
        <v>7200.0</v>
      </c>
    </row>
    <row r="13">
      <c r="A13" s="2" t="s">
        <v>68</v>
      </c>
      <c r="B13" s="3">
        <v>45317.0</v>
      </c>
      <c r="C13" s="2" t="s">
        <v>0</v>
      </c>
      <c r="D13" s="2" t="s">
        <v>70</v>
      </c>
      <c r="E13" s="2" t="s">
        <v>40</v>
      </c>
      <c r="F13" s="2" t="s">
        <v>41</v>
      </c>
      <c r="G13" s="5">
        <v>630.5</v>
      </c>
    </row>
    <row r="14">
      <c r="A14" s="2" t="s">
        <v>72</v>
      </c>
      <c r="B14" s="3">
        <v>45318.0</v>
      </c>
      <c r="C14" s="2" t="s">
        <v>73</v>
      </c>
      <c r="D14" s="2" t="s">
        <v>74</v>
      </c>
      <c r="E14" s="2" t="s">
        <v>20</v>
      </c>
      <c r="F14" s="2" t="s">
        <v>21</v>
      </c>
      <c r="G14" s="5">
        <v>4100.0</v>
      </c>
    </row>
    <row r="15">
      <c r="A15" s="2" t="s">
        <v>75</v>
      </c>
      <c r="B15" s="3">
        <v>45319.0</v>
      </c>
      <c r="C15" s="2" t="s">
        <v>28</v>
      </c>
      <c r="D15" s="2" t="s">
        <v>76</v>
      </c>
      <c r="E15" s="2" t="s">
        <v>25</v>
      </c>
      <c r="F15" s="2" t="s">
        <v>26</v>
      </c>
      <c r="G15" s="5">
        <v>2100.25</v>
      </c>
    </row>
    <row r="16">
      <c r="A16" s="2" t="s">
        <v>77</v>
      </c>
      <c r="B16" s="3">
        <v>45320.0</v>
      </c>
      <c r="C16" s="2" t="s">
        <v>12</v>
      </c>
      <c r="D16" s="2" t="s">
        <v>78</v>
      </c>
      <c r="E16" s="2" t="s">
        <v>14</v>
      </c>
      <c r="F16" s="2" t="s">
        <v>15</v>
      </c>
      <c r="G16" s="5">
        <v>3890.0</v>
      </c>
    </row>
    <row r="17">
      <c r="A17" s="2" t="s">
        <v>79</v>
      </c>
      <c r="B17" s="3">
        <v>45321.0</v>
      </c>
      <c r="C17" s="2" t="s">
        <v>38</v>
      </c>
      <c r="D17" s="2" t="s">
        <v>80</v>
      </c>
      <c r="E17" s="2" t="s">
        <v>30</v>
      </c>
      <c r="F17" s="2" t="s">
        <v>31</v>
      </c>
      <c r="G17" s="5">
        <v>980.0</v>
      </c>
    </row>
    <row r="18">
      <c r="A18" s="2" t="s">
        <v>81</v>
      </c>
      <c r="B18" s="3">
        <v>45322.0</v>
      </c>
      <c r="C18" s="2" t="s">
        <v>0</v>
      </c>
      <c r="D18" s="2" t="s">
        <v>19</v>
      </c>
      <c r="E18" s="2" t="s">
        <v>34</v>
      </c>
      <c r="F18" s="2" t="s">
        <v>36</v>
      </c>
      <c r="G18" s="5">
        <v>5500.0</v>
      </c>
    </row>
    <row r="19">
      <c r="A19" s="2" t="s">
        <v>82</v>
      </c>
      <c r="B19" s="3">
        <v>45323.0</v>
      </c>
      <c r="C19" s="2" t="s">
        <v>57</v>
      </c>
      <c r="D19" s="2" t="s">
        <v>83</v>
      </c>
      <c r="E19" s="2" t="s">
        <v>40</v>
      </c>
      <c r="F19" s="2" t="s">
        <v>41</v>
      </c>
      <c r="G19" s="5">
        <v>315.8</v>
      </c>
    </row>
    <row r="20">
      <c r="A20" s="2" t="s">
        <v>84</v>
      </c>
      <c r="B20" s="3">
        <v>45324.0</v>
      </c>
      <c r="C20" s="2" t="s">
        <v>12</v>
      </c>
      <c r="D20" s="2" t="s">
        <v>13</v>
      </c>
      <c r="E20" s="2" t="s">
        <v>20</v>
      </c>
      <c r="F20" s="2" t="s">
        <v>21</v>
      </c>
      <c r="G20" s="5">
        <v>6800.0</v>
      </c>
    </row>
    <row r="21">
      <c r="A21" s="2" t="s">
        <v>85</v>
      </c>
      <c r="B21" s="3">
        <v>45325.0</v>
      </c>
      <c r="C21" s="2" t="s">
        <v>23</v>
      </c>
      <c r="D21" s="2" t="s">
        <v>24</v>
      </c>
      <c r="E21" s="2" t="s">
        <v>14</v>
      </c>
      <c r="F21" s="2" t="s">
        <v>15</v>
      </c>
      <c r="G21" s="5">
        <v>4750.0</v>
      </c>
    </row>
    <row r="22">
      <c r="A22" s="2" t="s">
        <v>87</v>
      </c>
      <c r="B22" s="3">
        <v>45326.0</v>
      </c>
      <c r="C22" s="2" t="s">
        <v>43</v>
      </c>
      <c r="D22" s="2" t="s">
        <v>44</v>
      </c>
      <c r="E22" s="2" t="s">
        <v>34</v>
      </c>
      <c r="F22" s="2" t="s">
        <v>36</v>
      </c>
      <c r="G22" s="5">
        <v>3900.0</v>
      </c>
    </row>
    <row r="23">
      <c r="A23" s="2" t="s">
        <v>88</v>
      </c>
      <c r="B23" s="3">
        <v>45327.0</v>
      </c>
      <c r="C23" s="2" t="s">
        <v>53</v>
      </c>
      <c r="D23" s="2" t="s">
        <v>53</v>
      </c>
      <c r="E23" s="2" t="s">
        <v>25</v>
      </c>
      <c r="F23" s="2" t="s">
        <v>26</v>
      </c>
      <c r="G23" s="5">
        <v>1680.4</v>
      </c>
    </row>
    <row r="24">
      <c r="A24" s="2" t="s">
        <v>90</v>
      </c>
      <c r="B24" s="3">
        <v>45328.0</v>
      </c>
      <c r="C24" s="2" t="s">
        <v>12</v>
      </c>
      <c r="D24" s="2" t="s">
        <v>33</v>
      </c>
      <c r="E24" s="2" t="s">
        <v>30</v>
      </c>
      <c r="F24" s="2" t="s">
        <v>31</v>
      </c>
      <c r="G24" s="5">
        <v>2300.0</v>
      </c>
    </row>
    <row r="25">
      <c r="A25" s="2" t="s">
        <v>92</v>
      </c>
      <c r="B25" s="3">
        <v>45329.0</v>
      </c>
      <c r="C25" s="2" t="s">
        <v>73</v>
      </c>
      <c r="D25" s="2" t="s">
        <v>74</v>
      </c>
      <c r="E25" s="2" t="s">
        <v>40</v>
      </c>
      <c r="F25" s="2" t="s">
        <v>41</v>
      </c>
      <c r="G25" s="5">
        <v>540.0</v>
      </c>
    </row>
    <row r="26">
      <c r="A26" s="2" t="s">
        <v>93</v>
      </c>
      <c r="B26" s="3">
        <v>45330.0</v>
      </c>
      <c r="C26" s="2" t="s">
        <v>0</v>
      </c>
      <c r="D26" s="2" t="s">
        <v>19</v>
      </c>
      <c r="E26" s="2" t="s">
        <v>14</v>
      </c>
      <c r="F26" s="2" t="s">
        <v>15</v>
      </c>
      <c r="G26" s="5">
        <v>5950.0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11</v>
      </c>
      <c r="B1" s="3">
        <v>45306.0</v>
      </c>
      <c r="C1" s="2" t="s">
        <v>12</v>
      </c>
      <c r="D1" s="2" t="s">
        <v>13</v>
      </c>
      <c r="E1" s="2" t="s">
        <v>14</v>
      </c>
      <c r="F1" s="2" t="s">
        <v>15</v>
      </c>
      <c r="G1" s="5">
        <v>4250.0</v>
      </c>
    </row>
    <row r="2">
      <c r="A2" s="2" t="s">
        <v>18</v>
      </c>
      <c r="B2" s="3">
        <v>45307.0</v>
      </c>
      <c r="C2" s="2" t="s">
        <v>0</v>
      </c>
      <c r="D2" s="2" t="s">
        <v>19</v>
      </c>
      <c r="E2" s="2" t="s">
        <v>20</v>
      </c>
      <c r="F2" s="2" t="s">
        <v>21</v>
      </c>
      <c r="G2" s="5">
        <v>3100.5</v>
      </c>
    </row>
    <row r="3">
      <c r="A3" s="2" t="s">
        <v>22</v>
      </c>
      <c r="B3" s="3">
        <v>45308.0</v>
      </c>
      <c r="C3" s="2" t="s">
        <v>23</v>
      </c>
      <c r="D3" s="2" t="s">
        <v>24</v>
      </c>
      <c r="E3" s="2" t="s">
        <v>25</v>
      </c>
      <c r="F3" s="2" t="s">
        <v>26</v>
      </c>
      <c r="G3" s="5">
        <v>1240.75</v>
      </c>
    </row>
    <row r="4">
      <c r="A4" s="2" t="s">
        <v>27</v>
      </c>
      <c r="B4" s="3">
        <v>45309.0</v>
      </c>
      <c r="C4" s="2" t="s">
        <v>28</v>
      </c>
      <c r="D4" s="2" t="s">
        <v>29</v>
      </c>
      <c r="E4" s="2" t="s">
        <v>30</v>
      </c>
      <c r="F4" s="2" t="s">
        <v>31</v>
      </c>
      <c r="G4" s="5">
        <v>850.0</v>
      </c>
    </row>
    <row r="5">
      <c r="A5" s="2" t="s">
        <v>32</v>
      </c>
      <c r="B5" s="3">
        <v>45310.0</v>
      </c>
      <c r="C5" s="2" t="s">
        <v>12</v>
      </c>
      <c r="D5" s="2" t="s">
        <v>33</v>
      </c>
      <c r="E5" s="2" t="s">
        <v>34</v>
      </c>
      <c r="F5" s="2" t="s">
        <v>36</v>
      </c>
      <c r="G5" s="5">
        <v>6400.0</v>
      </c>
    </row>
    <row r="6">
      <c r="A6" s="2" t="s">
        <v>37</v>
      </c>
      <c r="B6" s="3">
        <v>45311.0</v>
      </c>
      <c r="C6" s="2" t="s">
        <v>38</v>
      </c>
      <c r="D6" s="2" t="s">
        <v>39</v>
      </c>
      <c r="E6" s="2" t="s">
        <v>40</v>
      </c>
      <c r="F6" s="2" t="s">
        <v>41</v>
      </c>
      <c r="G6" s="5">
        <v>420.3</v>
      </c>
    </row>
    <row r="7">
      <c r="A7" s="2" t="s">
        <v>42</v>
      </c>
      <c r="B7" s="3">
        <v>45312.0</v>
      </c>
      <c r="C7" s="2" t="s">
        <v>43</v>
      </c>
      <c r="D7" s="2" t="s">
        <v>44</v>
      </c>
      <c r="E7" s="2" t="s">
        <v>25</v>
      </c>
      <c r="F7" s="2" t="s">
        <v>26</v>
      </c>
      <c r="G7" s="5">
        <v>1850.0</v>
      </c>
    </row>
    <row r="8">
      <c r="A8" s="2" t="s">
        <v>51</v>
      </c>
      <c r="B8" s="3">
        <v>45313.0</v>
      </c>
      <c r="C8" s="2" t="s">
        <v>53</v>
      </c>
      <c r="D8" s="2" t="s">
        <v>53</v>
      </c>
      <c r="E8" s="2" t="s">
        <v>14</v>
      </c>
      <c r="F8" s="2" t="s">
        <v>15</v>
      </c>
      <c r="G8" s="5">
        <v>5120.0</v>
      </c>
    </row>
    <row r="12">
      <c r="C12" s="4" t="str">
        <f>IFERROR(__xludf.DUMMYFUNCTION("TEXTJOIN(""="",,FILTER(D1:D8,C1:C8=""United States""))"),"New York=San Francisco")</f>
        <v>New York=San Francisco</v>
      </c>
      <c r="G12" s="4" t="str">
        <f>IFERROR(__xludf.DUMMYFUNCTION("JOIN(""-"",G1:G4,G5:G8)"),"$4,250.00-$3,100.50-$1,240.75-$850.00-$6,400.00-$420.30-$1,850.00-$5,120.00")</f>
        <v>$4,250.00-$3,100.50-$1,240.75-$850.00-$6,400.00-$420.30-$1,850.00-$5,120.00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5">
      <c r="A15" s="2" t="s">
        <v>106</v>
      </c>
      <c r="B15" s="2" t="s">
        <v>12</v>
      </c>
      <c r="C15" s="2" t="s">
        <v>15</v>
      </c>
    </row>
    <row r="16">
      <c r="A16" s="2" t="s">
        <v>107</v>
      </c>
      <c r="B16" s="4">
        <f>MATCH(B15,A3:A11)</f>
        <v>9</v>
      </c>
      <c r="C16" s="4">
        <f>MATCH(C15,B2:G2)</f>
        <v>1</v>
      </c>
    </row>
    <row r="18">
      <c r="A18" s="2" t="s">
        <v>108</v>
      </c>
      <c r="B18" s="33">
        <f t="array" ref="B18">index(B3:G11,B16,C16)</f>
        <v>8140</v>
      </c>
    </row>
  </sheetData>
  <dataValidations>
    <dataValidation type="list" allowBlank="1" showErrorMessage="1" sqref="C15">
      <formula1>'get cost by index-match of coun'!$B$2:$G$2</formula1>
    </dataValidation>
    <dataValidation type="list" allowBlank="1" showErrorMessage="1" sqref="B15">
      <formula1>'get cost by index-match of coun'!$A$3:$A$11</formula1>
    </dataValidation>
  </dataValidation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row>
    <row r="2">
      <c r="A2" s="2" t="s">
        <v>11</v>
      </c>
      <c r="B2" s="3">
        <v>45306.0</v>
      </c>
      <c r="C2" s="2" t="s">
        <v>12</v>
      </c>
      <c r="D2" s="2" t="s">
        <v>13</v>
      </c>
      <c r="E2" s="2" t="s">
        <v>14</v>
      </c>
      <c r="F2" s="2" t="s">
        <v>15</v>
      </c>
      <c r="G2" s="5">
        <v>4250.0</v>
      </c>
      <c r="L2" s="2" t="s">
        <v>105</v>
      </c>
    </row>
    <row r="3">
      <c r="A3" s="2" t="s">
        <v>18</v>
      </c>
      <c r="B3" s="3">
        <v>45307.0</v>
      </c>
      <c r="C3" s="2" t="s">
        <v>0</v>
      </c>
      <c r="D3" s="2" t="s">
        <v>19</v>
      </c>
      <c r="E3" s="2" t="s">
        <v>20</v>
      </c>
      <c r="F3" s="2" t="s">
        <v>21</v>
      </c>
      <c r="G3" s="5">
        <v>3100.5</v>
      </c>
      <c r="L3" s="4">
        <f t="shared" ref="L3:L26" si="1">MONTH(B2:B26)</f>
        <v>1</v>
      </c>
      <c r="M3" s="4">
        <f t="array" ref="M3:M4">UNIQUE(L3:L26)</f>
        <v>1</v>
      </c>
    </row>
    <row r="4">
      <c r="A4" s="2" t="s">
        <v>22</v>
      </c>
      <c r="B4" s="3">
        <v>45308.0</v>
      </c>
      <c r="C4" s="2" t="s">
        <v>23</v>
      </c>
      <c r="D4" s="2" t="s">
        <v>24</v>
      </c>
      <c r="E4" s="2" t="s">
        <v>25</v>
      </c>
      <c r="F4" s="2" t="s">
        <v>26</v>
      </c>
      <c r="G4" s="5">
        <v>1240.75</v>
      </c>
      <c r="I4" s="4" t="str">
        <f t="array" ref="I4:I12">UNIQUE(C2:C26)</f>
        <v>United States</v>
      </c>
      <c r="J4" s="2" t="s">
        <v>73</v>
      </c>
      <c r="L4" s="4">
        <f t="shared" si="1"/>
        <v>1</v>
      </c>
      <c r="M4" s="4">
        <v>2.0</v>
      </c>
    </row>
    <row r="5">
      <c r="A5" s="2" t="s">
        <v>27</v>
      </c>
      <c r="B5" s="3">
        <v>45309.0</v>
      </c>
      <c r="C5" s="2" t="s">
        <v>28</v>
      </c>
      <c r="D5" s="2" t="s">
        <v>29</v>
      </c>
      <c r="E5" s="2" t="s">
        <v>30</v>
      </c>
      <c r="F5" s="2" t="s">
        <v>31</v>
      </c>
      <c r="G5" s="5">
        <v>850.0</v>
      </c>
      <c r="I5" s="4" t="s">
        <v>0</v>
      </c>
      <c r="L5" s="4">
        <f t="shared" si="1"/>
        <v>1</v>
      </c>
    </row>
    <row r="6">
      <c r="A6" s="2" t="s">
        <v>32</v>
      </c>
      <c r="B6" s="3">
        <v>45310.0</v>
      </c>
      <c r="C6" s="2" t="s">
        <v>12</v>
      </c>
      <c r="D6" s="2" t="s">
        <v>33</v>
      </c>
      <c r="E6" s="2" t="s">
        <v>34</v>
      </c>
      <c r="F6" s="2" t="s">
        <v>36</v>
      </c>
      <c r="G6" s="5">
        <v>6400.0</v>
      </c>
      <c r="I6" s="4" t="s">
        <v>23</v>
      </c>
      <c r="L6" s="4">
        <f t="shared" si="1"/>
        <v>1</v>
      </c>
      <c r="M6" s="4">
        <f>IFERROR(__xludf.DUMMYFUNCTION("COUNTUNIQUE(L3:L26)"),2.0)</f>
        <v>2</v>
      </c>
    </row>
    <row r="7">
      <c r="A7" s="2" t="s">
        <v>37</v>
      </c>
      <c r="B7" s="3">
        <v>45311.0</v>
      </c>
      <c r="C7" s="2" t="s">
        <v>38</v>
      </c>
      <c r="D7" s="2" t="s">
        <v>39</v>
      </c>
      <c r="E7" s="2" t="s">
        <v>40</v>
      </c>
      <c r="F7" s="2" t="s">
        <v>41</v>
      </c>
      <c r="G7" s="5">
        <v>420.3</v>
      </c>
      <c r="I7" s="4" t="s">
        <v>28</v>
      </c>
      <c r="J7" s="2">
        <f>sumif(C2:C26,J4,G2:G26)</f>
        <v>4640</v>
      </c>
      <c r="L7" s="4">
        <f t="shared" si="1"/>
        <v>1</v>
      </c>
    </row>
    <row r="8">
      <c r="A8" s="2" t="s">
        <v>42</v>
      </c>
      <c r="B8" s="3">
        <v>45312.0</v>
      </c>
      <c r="C8" s="2" t="s">
        <v>43</v>
      </c>
      <c r="D8" s="2" t="s">
        <v>44</v>
      </c>
      <c r="E8" s="2" t="s">
        <v>25</v>
      </c>
      <c r="F8" s="2" t="s">
        <v>26</v>
      </c>
      <c r="G8" s="5">
        <v>1850.0</v>
      </c>
      <c r="I8" s="4" t="s">
        <v>38</v>
      </c>
      <c r="L8" s="4">
        <f t="shared" si="1"/>
        <v>1</v>
      </c>
    </row>
    <row r="9">
      <c r="A9" s="2" t="s">
        <v>51</v>
      </c>
      <c r="B9" s="3">
        <v>45313.0</v>
      </c>
      <c r="C9" s="2" t="s">
        <v>53</v>
      </c>
      <c r="D9" s="2" t="s">
        <v>53</v>
      </c>
      <c r="E9" s="2" t="s">
        <v>14</v>
      </c>
      <c r="F9" s="2" t="s">
        <v>15</v>
      </c>
      <c r="G9" s="5">
        <v>5120.0</v>
      </c>
      <c r="I9" s="4" t="s">
        <v>43</v>
      </c>
      <c r="L9" s="4">
        <f t="shared" si="1"/>
        <v>1</v>
      </c>
    </row>
    <row r="10">
      <c r="A10" s="2" t="s">
        <v>56</v>
      </c>
      <c r="B10" s="3">
        <v>45314.0</v>
      </c>
      <c r="C10" s="2" t="s">
        <v>57</v>
      </c>
      <c r="D10" s="2" t="s">
        <v>58</v>
      </c>
      <c r="E10" s="2" t="s">
        <v>20</v>
      </c>
      <c r="F10" s="2" t="s">
        <v>21</v>
      </c>
      <c r="G10" s="5">
        <v>2750.0</v>
      </c>
      <c r="I10" s="4" t="s">
        <v>53</v>
      </c>
      <c r="L10" s="4">
        <f t="shared" si="1"/>
        <v>1</v>
      </c>
    </row>
    <row r="11">
      <c r="A11" s="2" t="s">
        <v>62</v>
      </c>
      <c r="B11" s="3">
        <v>45315.0</v>
      </c>
      <c r="C11" s="2" t="s">
        <v>12</v>
      </c>
      <c r="D11" s="2" t="s">
        <v>64</v>
      </c>
      <c r="E11" s="2" t="s">
        <v>30</v>
      </c>
      <c r="F11" s="2" t="s">
        <v>31</v>
      </c>
      <c r="G11" s="5">
        <v>1450.0</v>
      </c>
      <c r="I11" s="4" t="s">
        <v>57</v>
      </c>
      <c r="L11" s="4">
        <f t="shared" si="1"/>
        <v>1</v>
      </c>
    </row>
    <row r="12">
      <c r="A12" s="2" t="s">
        <v>65</v>
      </c>
      <c r="B12" s="3">
        <v>45316.0</v>
      </c>
      <c r="C12" s="2" t="s">
        <v>23</v>
      </c>
      <c r="D12" s="2" t="s">
        <v>66</v>
      </c>
      <c r="E12" s="2" t="s">
        <v>34</v>
      </c>
      <c r="F12" s="2" t="s">
        <v>36</v>
      </c>
      <c r="G12" s="5">
        <v>7200.0</v>
      </c>
      <c r="I12" s="4" t="s">
        <v>73</v>
      </c>
      <c r="L12" s="4">
        <f t="shared" si="1"/>
        <v>1</v>
      </c>
    </row>
    <row r="13">
      <c r="A13" s="2" t="s">
        <v>68</v>
      </c>
      <c r="B13" s="3">
        <v>45317.0</v>
      </c>
      <c r="C13" s="2" t="s">
        <v>0</v>
      </c>
      <c r="D13" s="2" t="s">
        <v>70</v>
      </c>
      <c r="E13" s="2" t="s">
        <v>40</v>
      </c>
      <c r="F13" s="2" t="s">
        <v>41</v>
      </c>
      <c r="G13" s="5">
        <v>630.5</v>
      </c>
      <c r="L13" s="4">
        <f t="shared" si="1"/>
        <v>1</v>
      </c>
    </row>
    <row r="14">
      <c r="A14" s="2" t="s">
        <v>72</v>
      </c>
      <c r="B14" s="3">
        <v>45318.0</v>
      </c>
      <c r="C14" s="2" t="s">
        <v>73</v>
      </c>
      <c r="D14" s="2" t="s">
        <v>74</v>
      </c>
      <c r="E14" s="2" t="s">
        <v>20</v>
      </c>
      <c r="F14" s="2" t="s">
        <v>21</v>
      </c>
      <c r="G14" s="5">
        <v>4100.0</v>
      </c>
      <c r="L14" s="4">
        <f t="shared" si="1"/>
        <v>1</v>
      </c>
    </row>
    <row r="15">
      <c r="A15" s="2" t="s">
        <v>75</v>
      </c>
      <c r="B15" s="3">
        <v>45319.0</v>
      </c>
      <c r="C15" s="2" t="s">
        <v>28</v>
      </c>
      <c r="D15" s="2" t="s">
        <v>76</v>
      </c>
      <c r="E15" s="2" t="s">
        <v>25</v>
      </c>
      <c r="F15" s="2" t="s">
        <v>26</v>
      </c>
      <c r="G15" s="5">
        <v>2100.25</v>
      </c>
      <c r="L15" s="4">
        <f t="shared" si="1"/>
        <v>1</v>
      </c>
    </row>
    <row r="16">
      <c r="A16" s="2" t="s">
        <v>77</v>
      </c>
      <c r="B16" s="3">
        <v>45320.0</v>
      </c>
      <c r="C16" s="2" t="s">
        <v>12</v>
      </c>
      <c r="D16" s="2" t="s">
        <v>78</v>
      </c>
      <c r="E16" s="2" t="s">
        <v>14</v>
      </c>
      <c r="F16" s="2" t="s">
        <v>15</v>
      </c>
      <c r="G16" s="5">
        <v>3890.0</v>
      </c>
      <c r="L16" s="4">
        <f t="shared" si="1"/>
        <v>1</v>
      </c>
    </row>
    <row r="17">
      <c r="A17" s="2" t="s">
        <v>79</v>
      </c>
      <c r="B17" s="3">
        <v>45321.0</v>
      </c>
      <c r="C17" s="2" t="s">
        <v>38</v>
      </c>
      <c r="D17" s="2" t="s">
        <v>80</v>
      </c>
      <c r="E17" s="2" t="s">
        <v>30</v>
      </c>
      <c r="F17" s="2" t="s">
        <v>31</v>
      </c>
      <c r="G17" s="5">
        <v>980.0</v>
      </c>
      <c r="L17" s="4">
        <f t="shared" si="1"/>
        <v>1</v>
      </c>
    </row>
    <row r="18">
      <c r="A18" s="2" t="s">
        <v>81</v>
      </c>
      <c r="B18" s="3">
        <v>45322.0</v>
      </c>
      <c r="C18" s="2" t="s">
        <v>0</v>
      </c>
      <c r="D18" s="2" t="s">
        <v>19</v>
      </c>
      <c r="E18" s="2" t="s">
        <v>34</v>
      </c>
      <c r="F18" s="2" t="s">
        <v>36</v>
      </c>
      <c r="G18" s="5">
        <v>5500.0</v>
      </c>
      <c r="L18" s="4">
        <f t="shared" si="1"/>
        <v>1</v>
      </c>
    </row>
    <row r="19">
      <c r="A19" s="2" t="s">
        <v>82</v>
      </c>
      <c r="B19" s="3">
        <v>45323.0</v>
      </c>
      <c r="C19" s="2" t="s">
        <v>57</v>
      </c>
      <c r="D19" s="2" t="s">
        <v>83</v>
      </c>
      <c r="E19" s="2" t="s">
        <v>40</v>
      </c>
      <c r="F19" s="2" t="s">
        <v>41</v>
      </c>
      <c r="G19" s="5">
        <v>315.8</v>
      </c>
      <c r="L19" s="4">
        <f t="shared" si="1"/>
        <v>2</v>
      </c>
    </row>
    <row r="20">
      <c r="A20" s="2" t="s">
        <v>84</v>
      </c>
      <c r="B20" s="3">
        <v>45324.0</v>
      </c>
      <c r="C20" s="2" t="s">
        <v>12</v>
      </c>
      <c r="D20" s="2" t="s">
        <v>13</v>
      </c>
      <c r="E20" s="2" t="s">
        <v>20</v>
      </c>
      <c r="F20" s="2" t="s">
        <v>21</v>
      </c>
      <c r="G20" s="5">
        <v>6800.0</v>
      </c>
      <c r="L20" s="4">
        <f t="shared" si="1"/>
        <v>2</v>
      </c>
    </row>
    <row r="21">
      <c r="A21" s="2" t="s">
        <v>85</v>
      </c>
      <c r="B21" s="3">
        <v>45325.0</v>
      </c>
      <c r="C21" s="2" t="s">
        <v>23</v>
      </c>
      <c r="D21" s="2" t="s">
        <v>24</v>
      </c>
      <c r="E21" s="2" t="s">
        <v>14</v>
      </c>
      <c r="F21" s="2" t="s">
        <v>15</v>
      </c>
      <c r="G21" s="5">
        <v>4750.0</v>
      </c>
      <c r="L21" s="4">
        <f t="shared" si="1"/>
        <v>2</v>
      </c>
    </row>
    <row r="22">
      <c r="A22" s="2" t="s">
        <v>87</v>
      </c>
      <c r="B22" s="3">
        <v>45326.0</v>
      </c>
      <c r="C22" s="2" t="s">
        <v>43</v>
      </c>
      <c r="D22" s="2" t="s">
        <v>44</v>
      </c>
      <c r="E22" s="2" t="s">
        <v>34</v>
      </c>
      <c r="F22" s="2" t="s">
        <v>36</v>
      </c>
      <c r="G22" s="5">
        <v>3900.0</v>
      </c>
      <c r="L22" s="4">
        <f t="shared" si="1"/>
        <v>2</v>
      </c>
    </row>
    <row r="23">
      <c r="A23" s="2" t="s">
        <v>88</v>
      </c>
      <c r="B23" s="3">
        <v>45327.0</v>
      </c>
      <c r="C23" s="2" t="s">
        <v>53</v>
      </c>
      <c r="D23" s="2" t="s">
        <v>53</v>
      </c>
      <c r="E23" s="2" t="s">
        <v>25</v>
      </c>
      <c r="F23" s="2" t="s">
        <v>26</v>
      </c>
      <c r="G23" s="5">
        <v>1680.4</v>
      </c>
      <c r="L23" s="4">
        <f t="shared" si="1"/>
        <v>2</v>
      </c>
    </row>
    <row r="24">
      <c r="A24" s="2" t="s">
        <v>90</v>
      </c>
      <c r="B24" s="3">
        <v>45328.0</v>
      </c>
      <c r="C24" s="2" t="s">
        <v>12</v>
      </c>
      <c r="D24" s="2" t="s">
        <v>33</v>
      </c>
      <c r="E24" s="2" t="s">
        <v>30</v>
      </c>
      <c r="F24" s="2" t="s">
        <v>31</v>
      </c>
      <c r="G24" s="5">
        <v>2300.0</v>
      </c>
      <c r="L24" s="4">
        <f t="shared" si="1"/>
        <v>2</v>
      </c>
    </row>
    <row r="25">
      <c r="A25" s="2" t="s">
        <v>92</v>
      </c>
      <c r="B25" s="3">
        <v>45329.0</v>
      </c>
      <c r="C25" s="2" t="s">
        <v>73</v>
      </c>
      <c r="D25" s="2" t="s">
        <v>74</v>
      </c>
      <c r="E25" s="2" t="s">
        <v>40</v>
      </c>
      <c r="F25" s="2" t="s">
        <v>41</v>
      </c>
      <c r="G25" s="5">
        <v>540.0</v>
      </c>
      <c r="L25" s="4">
        <f t="shared" si="1"/>
        <v>2</v>
      </c>
    </row>
    <row r="26">
      <c r="A26" s="2" t="s">
        <v>93</v>
      </c>
      <c r="B26" s="3">
        <v>45330.0</v>
      </c>
      <c r="C26" s="2" t="s">
        <v>0</v>
      </c>
      <c r="D26" s="2" t="s">
        <v>19</v>
      </c>
      <c r="E26" s="2" t="s">
        <v>14</v>
      </c>
      <c r="F26" s="2" t="s">
        <v>15</v>
      </c>
      <c r="G26" s="5">
        <v>5950.0</v>
      </c>
      <c r="L26" s="4">
        <f t="shared" si="1"/>
        <v>2</v>
      </c>
    </row>
  </sheetData>
  <dataValidations>
    <dataValidation type="list" allowBlank="1" showErrorMessage="1" sqref="J4">
      <formula1>'specefic country cost by dropdo'!$I$4:$I$12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row>
    <row r="2">
      <c r="A2" s="2" t="s">
        <v>11</v>
      </c>
      <c r="B2" s="3">
        <v>45306.0</v>
      </c>
      <c r="C2" s="2" t="s">
        <v>12</v>
      </c>
      <c r="D2" s="2" t="s">
        <v>13</v>
      </c>
      <c r="E2" s="2" t="s">
        <v>14</v>
      </c>
      <c r="F2" s="2" t="s">
        <v>15</v>
      </c>
      <c r="G2" s="5">
        <v>4250.0</v>
      </c>
    </row>
    <row r="3">
      <c r="A3" s="2" t="s">
        <v>18</v>
      </c>
      <c r="B3" s="3">
        <v>45307.0</v>
      </c>
      <c r="C3" s="2" t="s">
        <v>0</v>
      </c>
      <c r="D3" s="2" t="s">
        <v>19</v>
      </c>
      <c r="E3" s="2" t="s">
        <v>20</v>
      </c>
      <c r="F3" s="2" t="s">
        <v>21</v>
      </c>
      <c r="G3" s="5">
        <v>3100.5</v>
      </c>
    </row>
    <row r="4">
      <c r="A4" s="2" t="s">
        <v>22</v>
      </c>
      <c r="B4" s="3">
        <v>45308.0</v>
      </c>
      <c r="C4" s="2" t="s">
        <v>23</v>
      </c>
      <c r="D4" s="2" t="s">
        <v>24</v>
      </c>
      <c r="E4" s="2" t="s">
        <v>25</v>
      </c>
      <c r="F4" s="2" t="s">
        <v>26</v>
      </c>
      <c r="G4" s="5">
        <v>1240.75</v>
      </c>
    </row>
    <row r="5">
      <c r="A5" s="2" t="s">
        <v>27</v>
      </c>
      <c r="B5" s="3">
        <v>45309.0</v>
      </c>
      <c r="C5" s="2" t="s">
        <v>28</v>
      </c>
      <c r="D5" s="2" t="s">
        <v>29</v>
      </c>
      <c r="E5" s="2" t="s">
        <v>30</v>
      </c>
      <c r="F5" s="2" t="s">
        <v>31</v>
      </c>
      <c r="G5" s="5">
        <v>850.0</v>
      </c>
    </row>
    <row r="6">
      <c r="A6" s="2" t="s">
        <v>32</v>
      </c>
      <c r="B6" s="3">
        <v>45310.0</v>
      </c>
      <c r="C6" s="2" t="s">
        <v>12</v>
      </c>
      <c r="D6" s="2" t="s">
        <v>33</v>
      </c>
      <c r="E6" s="2" t="s">
        <v>34</v>
      </c>
      <c r="F6" s="2" t="s">
        <v>36</v>
      </c>
      <c r="G6" s="5">
        <v>6400.0</v>
      </c>
    </row>
    <row r="7">
      <c r="A7" s="2" t="s">
        <v>37</v>
      </c>
      <c r="B7" s="3">
        <v>45311.0</v>
      </c>
      <c r="C7" s="2" t="s">
        <v>38</v>
      </c>
      <c r="D7" s="2" t="s">
        <v>39</v>
      </c>
      <c r="E7" s="2" t="s">
        <v>40</v>
      </c>
      <c r="F7" s="2" t="s">
        <v>41</v>
      </c>
      <c r="G7" s="5">
        <v>420.3</v>
      </c>
      <c r="I7" s="4" t="str">
        <f t="array" ref="I7:I25">unique(D:D)</f>
        <v>City</v>
      </c>
    </row>
    <row r="8">
      <c r="A8" s="2" t="s">
        <v>42</v>
      </c>
      <c r="B8" s="3">
        <v>45312.0</v>
      </c>
      <c r="C8" s="2" t="s">
        <v>43</v>
      </c>
      <c r="D8" s="2" t="s">
        <v>44</v>
      </c>
      <c r="E8" s="2" t="s">
        <v>25</v>
      </c>
      <c r="F8" s="2" t="s">
        <v>26</v>
      </c>
      <c r="G8" s="5">
        <v>1850.0</v>
      </c>
      <c r="I8" s="4" t="s">
        <v>13</v>
      </c>
    </row>
    <row r="9">
      <c r="A9" s="2" t="s">
        <v>51</v>
      </c>
      <c r="B9" s="3">
        <v>45313.0</v>
      </c>
      <c r="C9" s="2" t="s">
        <v>53</v>
      </c>
      <c r="D9" s="2" t="s">
        <v>53</v>
      </c>
      <c r="E9" s="2" t="s">
        <v>14</v>
      </c>
      <c r="F9" s="2" t="s">
        <v>15</v>
      </c>
      <c r="G9" s="5">
        <v>5120.0</v>
      </c>
      <c r="I9" s="4" t="s">
        <v>19</v>
      </c>
    </row>
    <row r="10">
      <c r="A10" s="2" t="s">
        <v>56</v>
      </c>
      <c r="B10" s="3">
        <v>45314.0</v>
      </c>
      <c r="C10" s="2" t="s">
        <v>57</v>
      </c>
      <c r="D10" s="2" t="s">
        <v>58</v>
      </c>
      <c r="E10" s="2" t="s">
        <v>20</v>
      </c>
      <c r="F10" s="2" t="s">
        <v>21</v>
      </c>
      <c r="G10" s="5">
        <v>2750.0</v>
      </c>
      <c r="I10" s="4" t="s">
        <v>24</v>
      </c>
    </row>
    <row r="11">
      <c r="A11" s="2" t="s">
        <v>62</v>
      </c>
      <c r="B11" s="3">
        <v>45315.0</v>
      </c>
      <c r="C11" s="2" t="s">
        <v>12</v>
      </c>
      <c r="D11" s="2" t="s">
        <v>64</v>
      </c>
      <c r="E11" s="2" t="s">
        <v>30</v>
      </c>
      <c r="F11" s="2" t="s">
        <v>31</v>
      </c>
      <c r="G11" s="5">
        <v>1450.0</v>
      </c>
      <c r="I11" s="4" t="s">
        <v>29</v>
      </c>
    </row>
    <row r="12">
      <c r="A12" s="2" t="s">
        <v>65</v>
      </c>
      <c r="B12" s="3">
        <v>45316.0</v>
      </c>
      <c r="C12" s="2" t="s">
        <v>23</v>
      </c>
      <c r="D12" s="2" t="s">
        <v>66</v>
      </c>
      <c r="E12" s="2" t="s">
        <v>34</v>
      </c>
      <c r="F12" s="2" t="s">
        <v>36</v>
      </c>
      <c r="G12" s="5">
        <v>7200.0</v>
      </c>
      <c r="I12" s="4" t="s">
        <v>33</v>
      </c>
    </row>
    <row r="13">
      <c r="A13" s="2" t="s">
        <v>68</v>
      </c>
      <c r="B13" s="3">
        <v>45317.0</v>
      </c>
      <c r="C13" s="2" t="s">
        <v>0</v>
      </c>
      <c r="D13" s="2" t="s">
        <v>70</v>
      </c>
      <c r="E13" s="2" t="s">
        <v>40</v>
      </c>
      <c r="F13" s="2" t="s">
        <v>41</v>
      </c>
      <c r="G13" s="5">
        <v>630.5</v>
      </c>
      <c r="I13" s="4" t="s">
        <v>39</v>
      </c>
    </row>
    <row r="14">
      <c r="A14" s="2" t="s">
        <v>72</v>
      </c>
      <c r="B14" s="3">
        <v>45318.0</v>
      </c>
      <c r="C14" s="2" t="s">
        <v>73</v>
      </c>
      <c r="D14" s="2" t="s">
        <v>74</v>
      </c>
      <c r="E14" s="2" t="s">
        <v>20</v>
      </c>
      <c r="F14" s="2" t="s">
        <v>21</v>
      </c>
      <c r="G14" s="5">
        <v>4100.0</v>
      </c>
      <c r="I14" s="4" t="s">
        <v>44</v>
      </c>
    </row>
    <row r="15">
      <c r="A15" s="2" t="s">
        <v>75</v>
      </c>
      <c r="B15" s="3">
        <v>45319.0</v>
      </c>
      <c r="C15" s="2" t="s">
        <v>28</v>
      </c>
      <c r="D15" s="2" t="s">
        <v>76</v>
      </c>
      <c r="E15" s="2" t="s">
        <v>25</v>
      </c>
      <c r="F15" s="2" t="s">
        <v>26</v>
      </c>
      <c r="G15" s="5">
        <v>2100.25</v>
      </c>
      <c r="I15" s="4" t="s">
        <v>53</v>
      </c>
    </row>
    <row r="16">
      <c r="A16" s="2" t="s">
        <v>77</v>
      </c>
      <c r="B16" s="3">
        <v>45320.0</v>
      </c>
      <c r="C16" s="2" t="s">
        <v>12</v>
      </c>
      <c r="D16" s="2" t="s">
        <v>78</v>
      </c>
      <c r="E16" s="2" t="s">
        <v>14</v>
      </c>
      <c r="F16" s="2" t="s">
        <v>15</v>
      </c>
      <c r="G16" s="5">
        <v>3890.0</v>
      </c>
      <c r="I16" s="4" t="s">
        <v>58</v>
      </c>
    </row>
    <row r="17">
      <c r="A17" s="2" t="s">
        <v>79</v>
      </c>
      <c r="B17" s="3">
        <v>45321.0</v>
      </c>
      <c r="C17" s="2" t="s">
        <v>38</v>
      </c>
      <c r="D17" s="2" t="s">
        <v>80</v>
      </c>
      <c r="E17" s="2" t="s">
        <v>30</v>
      </c>
      <c r="F17" s="2" t="s">
        <v>31</v>
      </c>
      <c r="G17" s="5">
        <v>980.0</v>
      </c>
      <c r="I17" s="4" t="s">
        <v>64</v>
      </c>
    </row>
    <row r="18">
      <c r="A18" s="2" t="s">
        <v>81</v>
      </c>
      <c r="B18" s="3">
        <v>45322.0</v>
      </c>
      <c r="C18" s="2" t="s">
        <v>0</v>
      </c>
      <c r="D18" s="2" t="s">
        <v>19</v>
      </c>
      <c r="E18" s="2" t="s">
        <v>34</v>
      </c>
      <c r="F18" s="2" t="s">
        <v>36</v>
      </c>
      <c r="G18" s="5">
        <v>5500.0</v>
      </c>
      <c r="I18" s="4" t="s">
        <v>66</v>
      </c>
    </row>
    <row r="19">
      <c r="A19" s="2" t="s">
        <v>82</v>
      </c>
      <c r="B19" s="3">
        <v>45323.0</v>
      </c>
      <c r="C19" s="2" t="s">
        <v>57</v>
      </c>
      <c r="D19" s="2" t="s">
        <v>83</v>
      </c>
      <c r="E19" s="2" t="s">
        <v>40</v>
      </c>
      <c r="F19" s="2" t="s">
        <v>41</v>
      </c>
      <c r="G19" s="5">
        <v>315.8</v>
      </c>
      <c r="I19" s="4" t="s">
        <v>70</v>
      </c>
    </row>
    <row r="20">
      <c r="A20" s="2" t="s">
        <v>84</v>
      </c>
      <c r="B20" s="3">
        <v>45324.0</v>
      </c>
      <c r="C20" s="2" t="s">
        <v>12</v>
      </c>
      <c r="D20" s="2" t="s">
        <v>13</v>
      </c>
      <c r="E20" s="2" t="s">
        <v>20</v>
      </c>
      <c r="F20" s="2" t="s">
        <v>21</v>
      </c>
      <c r="G20" s="5">
        <v>6800.0</v>
      </c>
      <c r="I20" s="4" t="s">
        <v>74</v>
      </c>
    </row>
    <row r="21">
      <c r="A21" s="2" t="s">
        <v>85</v>
      </c>
      <c r="B21" s="3">
        <v>45325.0</v>
      </c>
      <c r="C21" s="2" t="s">
        <v>23</v>
      </c>
      <c r="D21" s="2" t="s">
        <v>24</v>
      </c>
      <c r="E21" s="2" t="s">
        <v>14</v>
      </c>
      <c r="F21" s="2" t="s">
        <v>15</v>
      </c>
      <c r="G21" s="5">
        <v>4750.0</v>
      </c>
      <c r="I21" s="4" t="s">
        <v>76</v>
      </c>
    </row>
    <row r="22">
      <c r="A22" s="2" t="s">
        <v>87</v>
      </c>
      <c r="B22" s="3">
        <v>45326.0</v>
      </c>
      <c r="C22" s="2" t="s">
        <v>43</v>
      </c>
      <c r="D22" s="2" t="s">
        <v>44</v>
      </c>
      <c r="E22" s="2" t="s">
        <v>34</v>
      </c>
      <c r="F22" s="2" t="s">
        <v>36</v>
      </c>
      <c r="G22" s="5">
        <v>3900.0</v>
      </c>
      <c r="I22" s="4" t="s">
        <v>78</v>
      </c>
    </row>
    <row r="23">
      <c r="A23" s="2" t="s">
        <v>88</v>
      </c>
      <c r="B23" s="3">
        <v>45327.0</v>
      </c>
      <c r="C23" s="2" t="s">
        <v>53</v>
      </c>
      <c r="D23" s="2" t="s">
        <v>53</v>
      </c>
      <c r="E23" s="2" t="s">
        <v>25</v>
      </c>
      <c r="F23" s="2" t="s">
        <v>26</v>
      </c>
      <c r="G23" s="5">
        <v>1680.4</v>
      </c>
      <c r="I23" s="4" t="s">
        <v>80</v>
      </c>
    </row>
    <row r="24">
      <c r="A24" s="2" t="s">
        <v>90</v>
      </c>
      <c r="B24" s="3">
        <v>45328.0</v>
      </c>
      <c r="C24" s="2" t="s">
        <v>12</v>
      </c>
      <c r="D24" s="2" t="s">
        <v>33</v>
      </c>
      <c r="E24" s="2" t="s">
        <v>30</v>
      </c>
      <c r="F24" s="2" t="s">
        <v>31</v>
      </c>
      <c r="G24" s="5">
        <v>2300.0</v>
      </c>
      <c r="I24" s="4" t="s">
        <v>83</v>
      </c>
    </row>
    <row r="25">
      <c r="A25" s="2" t="s">
        <v>92</v>
      </c>
      <c r="B25" s="3">
        <v>45329.0</v>
      </c>
      <c r="C25" s="2" t="s">
        <v>73</v>
      </c>
      <c r="D25" s="2" t="s">
        <v>74</v>
      </c>
      <c r="E25" s="2" t="s">
        <v>40</v>
      </c>
      <c r="F25" s="2" t="s">
        <v>41</v>
      </c>
      <c r="G25" s="5">
        <v>540.0</v>
      </c>
      <c r="I25" s="4"/>
    </row>
    <row r="26">
      <c r="A26" s="2" t="s">
        <v>93</v>
      </c>
      <c r="B26" s="3">
        <v>45330.0</v>
      </c>
      <c r="C26" s="2" t="s">
        <v>0</v>
      </c>
      <c r="D26" s="2" t="s">
        <v>19</v>
      </c>
      <c r="E26" s="2" t="s">
        <v>14</v>
      </c>
      <c r="F26" s="2" t="s">
        <v>15</v>
      </c>
      <c r="G26" s="5">
        <v>5950.0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sheetData>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s>
  <sheetData>
    <row r="1">
      <c r="A1" s="8" t="s">
        <v>5</v>
      </c>
      <c r="B1" s="9" t="s">
        <v>6</v>
      </c>
    </row>
    <row r="2">
      <c r="A2" s="14" t="s">
        <v>14</v>
      </c>
      <c r="B2" s="16" t="s">
        <v>15</v>
      </c>
    </row>
    <row r="3">
      <c r="A3" s="14" t="s">
        <v>20</v>
      </c>
      <c r="B3" s="16" t="s">
        <v>21</v>
      </c>
    </row>
    <row r="4">
      <c r="A4" s="14" t="s">
        <v>25</v>
      </c>
      <c r="B4" s="16" t="s">
        <v>26</v>
      </c>
    </row>
    <row r="5">
      <c r="A5" s="14" t="s">
        <v>30</v>
      </c>
      <c r="B5" s="16" t="s">
        <v>31</v>
      </c>
    </row>
    <row r="6">
      <c r="A6" s="14" t="s">
        <v>34</v>
      </c>
      <c r="B6" s="16" t="s">
        <v>36</v>
      </c>
    </row>
    <row r="7">
      <c r="A7" s="14" t="s">
        <v>40</v>
      </c>
      <c r="B7" s="16" t="s">
        <v>41</v>
      </c>
    </row>
    <row r="8">
      <c r="A8" s="14" t="s">
        <v>119</v>
      </c>
      <c r="B8" s="16" t="s">
        <v>26</v>
      </c>
    </row>
    <row r="9">
      <c r="A9" s="14" t="s">
        <v>120</v>
      </c>
      <c r="B9" s="16" t="s">
        <v>15</v>
      </c>
    </row>
    <row r="10">
      <c r="A10" s="14" t="s">
        <v>121</v>
      </c>
      <c r="B10" s="16" t="s">
        <v>21</v>
      </c>
    </row>
    <row r="11">
      <c r="A11" s="14" t="s">
        <v>122</v>
      </c>
      <c r="B11" s="16" t="s">
        <v>31</v>
      </c>
    </row>
    <row r="12">
      <c r="A12" s="14" t="s">
        <v>123</v>
      </c>
      <c r="B12" s="16" t="s">
        <v>36</v>
      </c>
    </row>
    <row r="13">
      <c r="A13" s="14" t="s">
        <v>124</v>
      </c>
      <c r="B13" s="16" t="s">
        <v>41</v>
      </c>
    </row>
    <row r="14">
      <c r="A14" s="14" t="s">
        <v>125</v>
      </c>
      <c r="B14" s="16" t="s">
        <v>21</v>
      </c>
    </row>
    <row r="15">
      <c r="A15" s="14" t="s">
        <v>126</v>
      </c>
      <c r="B15" s="16" t="s">
        <v>26</v>
      </c>
    </row>
    <row r="16">
      <c r="A16" s="14" t="s">
        <v>127</v>
      </c>
      <c r="B16" s="16" t="s">
        <v>15</v>
      </c>
    </row>
    <row r="17">
      <c r="A17" s="14" t="s">
        <v>128</v>
      </c>
      <c r="B17" s="16" t="s">
        <v>31</v>
      </c>
    </row>
    <row r="18">
      <c r="A18" s="14" t="s">
        <v>129</v>
      </c>
      <c r="B18" s="16" t="s">
        <v>36</v>
      </c>
    </row>
    <row r="19">
      <c r="A19" s="14" t="s">
        <v>130</v>
      </c>
      <c r="B19" s="16" t="s">
        <v>41</v>
      </c>
    </row>
    <row r="20">
      <c r="A20" s="14" t="s">
        <v>131</v>
      </c>
      <c r="B20" s="16" t="s">
        <v>21</v>
      </c>
    </row>
    <row r="21">
      <c r="A21" s="14" t="s">
        <v>132</v>
      </c>
      <c r="B21" s="16" t="s">
        <v>15</v>
      </c>
    </row>
    <row r="22">
      <c r="A22" s="14" t="s">
        <v>34</v>
      </c>
      <c r="B22" s="16" t="s">
        <v>36</v>
      </c>
    </row>
    <row r="23">
      <c r="A23" s="14" t="s">
        <v>25</v>
      </c>
      <c r="B23" s="16" t="s">
        <v>26</v>
      </c>
    </row>
    <row r="24">
      <c r="A24" s="14" t="s">
        <v>30</v>
      </c>
      <c r="B24" s="16" t="s">
        <v>31</v>
      </c>
    </row>
    <row r="25">
      <c r="A25" s="14" t="s">
        <v>40</v>
      </c>
      <c r="B25" s="16" t="s">
        <v>41</v>
      </c>
    </row>
    <row r="26">
      <c r="A26" s="14" t="s">
        <v>14</v>
      </c>
      <c r="B26" s="16" t="s">
        <v>15</v>
      </c>
    </row>
  </sheetData>
  <drawing r:id="rId1"/>
  <tableParts count="1">
    <tablePart r:id="rId3"/>
  </tableParts>
</worksheet>
</file>